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giao an\TKB\nam hoc 26-27\"/>
    </mc:Choice>
  </mc:AlternateContent>
  <xr:revisionPtr revIDLastSave="0" documentId="13_ncr:1_{5DE3E1B8-D824-4BBB-919F-9916810B0F8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hang_08_2026" sheetId="62" r:id="rId1"/>
    <sheet name="Thang_09_2026" sheetId="63" r:id="rId2"/>
    <sheet name="Thang_10_2026" sheetId="68" r:id="rId3"/>
    <sheet name="Thang_09_2026_BT" sheetId="64" r:id="rId4"/>
    <sheet name="Thang_10_2026_BT" sheetId="69" r:id="rId5"/>
    <sheet name="Thang_09_2026_BaDon" sheetId="65" r:id="rId6"/>
    <sheet name="Thang_10_2026_BaDon" sheetId="70" r:id="rId7"/>
    <sheet name="Thang_09_2026_TuyenHoa" sheetId="66" r:id="rId8"/>
    <sheet name="Thang_10_2026_TuyenHoa" sheetId="71" r:id="rId9"/>
    <sheet name="Thang_09_2026_HuongHoa" sheetId="67" r:id="rId10"/>
    <sheet name="Thang_10_2026_HuongHoa" sheetId="72" r:id="rId11"/>
    <sheet name="Thang_10_2026_Dakroong" sheetId="73" r:id="rId12"/>
  </sheets>
  <definedNames>
    <definedName name="_xlnm.Print_Titles" localSheetId="0">Thang_08_2026!$7:$9</definedName>
    <definedName name="_xlnm.Print_Titles" localSheetId="1">Thang_09_2026!$7:$9</definedName>
    <definedName name="_xlnm.Print_Titles" localSheetId="5">Thang_09_2026_BaDon!$7:$9</definedName>
    <definedName name="_xlnm.Print_Titles" localSheetId="3">Thang_09_2026_BT!$7:$9</definedName>
    <definedName name="_xlnm.Print_Titles" localSheetId="9">Thang_09_2026_HuongHoa!$7:$9</definedName>
    <definedName name="_xlnm.Print_Titles" localSheetId="7">Thang_09_2026_TuyenHoa!$7:$9</definedName>
    <definedName name="_xlnm.Print_Titles" localSheetId="2">Thang_10_2026!$7:$9</definedName>
    <definedName name="_xlnm.Print_Titles" localSheetId="6">Thang_10_2026_BaDon!$7:$9</definedName>
    <definedName name="_xlnm.Print_Titles" localSheetId="4">Thang_10_2026_BT!$7:$9</definedName>
    <definedName name="_xlnm.Print_Titles" localSheetId="11">Thang_10_2026_Dakroong!$7:$9</definedName>
    <definedName name="_xlnm.Print_Titles" localSheetId="10">Thang_10_2026_HuongHoa!$7:$9</definedName>
    <definedName name="_xlnm.Print_Titles" localSheetId="8">Thang_10_2026_TuyenHoa!$7:$9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77" i="68" l="1"/>
  <c r="AO77" i="68"/>
  <c r="AR101" i="68"/>
  <c r="AR102" i="68"/>
  <c r="AR103" i="68"/>
  <c r="AR104" i="68"/>
  <c r="AR105" i="68"/>
  <c r="AO101" i="68"/>
  <c r="AO102" i="68"/>
  <c r="AO103" i="68"/>
  <c r="AO104" i="68"/>
  <c r="AO105" i="68"/>
  <c r="AR96" i="68"/>
  <c r="AR97" i="68"/>
  <c r="AR98" i="68"/>
  <c r="AR99" i="68"/>
  <c r="AR100" i="68"/>
  <c r="AO96" i="68"/>
  <c r="AO97" i="68"/>
  <c r="AO98" i="68"/>
  <c r="AO99" i="68"/>
  <c r="AO100" i="68"/>
  <c r="AR94" i="68"/>
  <c r="AR95" i="68"/>
  <c r="AO94" i="68"/>
  <c r="AO95" i="68"/>
  <c r="AR90" i="68"/>
  <c r="AR91" i="68"/>
  <c r="AR92" i="68"/>
  <c r="AR93" i="68"/>
  <c r="AO92" i="68"/>
  <c r="AO93" i="68"/>
  <c r="AR24" i="73"/>
  <c r="AR16" i="73"/>
  <c r="AO16" i="73"/>
  <c r="AR15" i="73"/>
  <c r="AO15" i="73"/>
  <c r="AR14" i="73"/>
  <c r="AO14" i="73"/>
  <c r="AR13" i="73"/>
  <c r="AO13" i="73"/>
  <c r="AR12" i="73"/>
  <c r="AO12" i="73"/>
  <c r="AR11" i="73"/>
  <c r="AO11" i="73"/>
  <c r="AR10" i="73"/>
  <c r="AO10" i="73"/>
  <c r="AR29" i="72"/>
  <c r="AR21" i="72"/>
  <c r="AO21" i="72"/>
  <c r="AR20" i="72"/>
  <c r="AO20" i="72"/>
  <c r="AR19" i="72"/>
  <c r="AO19" i="72"/>
  <c r="AR18" i="72"/>
  <c r="AO18" i="72"/>
  <c r="AO17" i="72"/>
  <c r="AR16" i="72"/>
  <c r="AO16" i="72"/>
  <c r="AR15" i="72"/>
  <c r="AO15" i="72"/>
  <c r="AR14" i="72"/>
  <c r="AO14" i="72"/>
  <c r="AR13" i="72"/>
  <c r="AO13" i="72"/>
  <c r="AR12" i="72"/>
  <c r="AO12" i="72"/>
  <c r="AR11" i="72"/>
  <c r="AO11" i="72"/>
  <c r="AR10" i="72"/>
  <c r="AO10" i="72"/>
  <c r="AO19" i="70"/>
  <c r="AO21" i="70"/>
  <c r="AR20" i="71" l="1"/>
  <c r="AR12" i="71"/>
  <c r="AO12" i="71"/>
  <c r="AR11" i="71"/>
  <c r="AO11" i="71"/>
  <c r="AR10" i="71"/>
  <c r="AO10" i="71"/>
  <c r="AR26" i="70"/>
  <c r="AR18" i="70"/>
  <c r="AO18" i="70"/>
  <c r="AR17" i="70"/>
  <c r="AO17" i="70"/>
  <c r="AR16" i="70"/>
  <c r="AO16" i="70"/>
  <c r="AR15" i="70"/>
  <c r="AO15" i="70"/>
  <c r="AR14" i="70"/>
  <c r="AO14" i="70"/>
  <c r="AR13" i="70"/>
  <c r="AO13" i="70"/>
  <c r="AR12" i="70"/>
  <c r="AO12" i="70"/>
  <c r="AR11" i="70"/>
  <c r="AO11" i="70"/>
  <c r="AR10" i="70"/>
  <c r="AO10" i="70"/>
  <c r="AR20" i="69"/>
  <c r="AR12" i="69"/>
  <c r="AO12" i="69"/>
  <c r="AR11" i="69"/>
  <c r="AO11" i="69"/>
  <c r="AR10" i="69"/>
  <c r="AO10" i="69"/>
  <c r="AR70" i="68"/>
  <c r="AO70" i="68"/>
  <c r="AR81" i="68" l="1"/>
  <c r="AR82" i="68"/>
  <c r="AR83" i="68"/>
  <c r="AR84" i="68"/>
  <c r="AR85" i="68"/>
  <c r="AR86" i="68"/>
  <c r="AR87" i="68"/>
  <c r="AR88" i="68"/>
  <c r="AR89" i="68"/>
  <c r="AO82" i="68"/>
  <c r="AO83" i="68"/>
  <c r="AO84" i="68"/>
  <c r="AO85" i="68"/>
  <c r="AO86" i="68"/>
  <c r="AO87" i="68"/>
  <c r="AO88" i="68"/>
  <c r="AO89" i="68"/>
  <c r="AO90" i="68"/>
  <c r="AO91" i="68"/>
  <c r="AR80" i="68"/>
  <c r="AO80" i="68"/>
  <c r="AO63" i="68"/>
  <c r="AR63" i="68"/>
  <c r="AR62" i="68"/>
  <c r="AO62" i="68"/>
  <c r="AR47" i="68"/>
  <c r="AO47" i="68"/>
  <c r="AO50" i="68" l="1"/>
  <c r="AR48" i="68"/>
  <c r="AO48" i="68"/>
  <c r="AR24" i="67"/>
  <c r="AR21" i="67"/>
  <c r="AR20" i="67"/>
  <c r="AR16" i="67"/>
  <c r="AR15" i="67"/>
  <c r="AO15" i="67"/>
  <c r="AR14" i="67"/>
  <c r="AO14" i="67"/>
  <c r="AR13" i="67"/>
  <c r="AO13" i="67"/>
  <c r="AR12" i="67"/>
  <c r="AO12" i="67"/>
  <c r="AR11" i="67"/>
  <c r="AO11" i="67"/>
  <c r="AR10" i="67"/>
  <c r="AO10" i="67"/>
  <c r="AR18" i="66"/>
  <c r="AR15" i="66"/>
  <c r="AR14" i="66"/>
  <c r="AR13" i="66"/>
  <c r="AR12" i="66"/>
  <c r="AO12" i="66"/>
  <c r="AR11" i="66"/>
  <c r="AO11" i="66"/>
  <c r="AR10" i="66"/>
  <c r="AO10" i="66"/>
  <c r="AR27" i="65"/>
  <c r="AR24" i="65"/>
  <c r="AR23" i="65"/>
  <c r="AR19" i="65"/>
  <c r="AO19" i="65"/>
  <c r="AR18" i="65"/>
  <c r="AO18" i="65"/>
  <c r="AR17" i="65"/>
  <c r="AO17" i="65"/>
  <c r="AR16" i="65"/>
  <c r="AO16" i="65"/>
  <c r="AR15" i="65"/>
  <c r="AO15" i="65"/>
  <c r="AR14" i="65"/>
  <c r="AO14" i="65"/>
  <c r="AR13" i="65"/>
  <c r="AO13" i="65"/>
  <c r="AR12" i="65"/>
  <c r="AO12" i="65"/>
  <c r="AR11" i="65"/>
  <c r="AO11" i="65"/>
  <c r="AR10" i="65"/>
  <c r="AO10" i="65"/>
  <c r="AR18" i="64"/>
  <c r="AR15" i="64"/>
  <c r="AR14" i="64"/>
  <c r="AR13" i="64"/>
  <c r="AR12" i="64"/>
  <c r="AO12" i="64"/>
  <c r="AR11" i="64"/>
  <c r="AO11" i="64"/>
  <c r="AR10" i="64"/>
  <c r="AO10" i="64"/>
  <c r="AR95" i="63"/>
  <c r="AR92" i="63"/>
  <c r="AR91" i="63"/>
  <c r="AR90" i="63"/>
  <c r="AR89" i="63"/>
  <c r="AO89" i="63"/>
  <c r="AR88" i="63"/>
  <c r="AO88" i="63"/>
  <c r="AR87" i="63"/>
  <c r="AO87" i="63"/>
  <c r="AR86" i="63"/>
  <c r="AO86" i="63"/>
  <c r="AR85" i="63"/>
  <c r="AO85" i="63"/>
  <c r="AR84" i="63"/>
  <c r="AO84" i="63"/>
  <c r="AR83" i="63"/>
  <c r="AO83" i="63"/>
  <c r="AR82" i="63"/>
  <c r="AO82" i="63"/>
  <c r="AR81" i="63"/>
  <c r="AO81" i="63"/>
  <c r="AR80" i="63"/>
  <c r="AO80" i="63"/>
  <c r="AR79" i="63"/>
  <c r="AO79" i="63"/>
  <c r="AR78" i="63"/>
  <c r="AO78" i="63"/>
  <c r="AR77" i="63"/>
  <c r="AO77" i="63"/>
  <c r="AR76" i="63"/>
  <c r="AO76" i="63"/>
  <c r="AR75" i="63"/>
  <c r="AO75" i="63"/>
  <c r="AR74" i="63"/>
  <c r="AO74" i="63"/>
  <c r="AR73" i="63"/>
  <c r="AO73" i="63"/>
  <c r="AR72" i="63"/>
  <c r="AO72" i="63"/>
  <c r="AR71" i="63"/>
  <c r="AO71" i="63"/>
  <c r="AR70" i="63"/>
  <c r="AO70" i="63"/>
  <c r="AR69" i="63"/>
  <c r="AO69" i="63"/>
  <c r="AR68" i="63"/>
  <c r="AO68" i="63"/>
  <c r="AR67" i="63"/>
  <c r="AO67" i="63"/>
  <c r="AR66" i="63"/>
  <c r="AO66" i="63"/>
  <c r="AR65" i="63"/>
  <c r="AO65" i="63"/>
  <c r="AR64" i="63"/>
  <c r="AO64" i="63"/>
  <c r="AR63" i="63"/>
  <c r="AO63" i="63"/>
  <c r="AR62" i="63"/>
  <c r="AO62" i="63"/>
  <c r="AR61" i="63"/>
  <c r="AO61" i="63"/>
  <c r="AR60" i="63"/>
  <c r="AO60" i="63"/>
  <c r="AR59" i="63"/>
  <c r="AO59" i="63"/>
  <c r="AR58" i="63"/>
  <c r="AO58" i="63"/>
  <c r="AR57" i="63"/>
  <c r="AO57" i="63"/>
  <c r="AR56" i="63"/>
  <c r="AO56" i="63"/>
  <c r="AR55" i="63"/>
  <c r="AO55" i="63"/>
  <c r="AR54" i="63"/>
  <c r="AO54" i="63"/>
  <c r="AR53" i="63"/>
  <c r="AO53" i="63"/>
  <c r="AR52" i="63"/>
  <c r="AO52" i="63"/>
  <c r="AR51" i="63"/>
  <c r="AO51" i="63"/>
  <c r="AR50" i="63"/>
  <c r="AO50" i="63"/>
  <c r="AR49" i="63"/>
  <c r="AO49" i="63"/>
  <c r="AR48" i="63"/>
  <c r="AO48" i="63"/>
  <c r="AR47" i="63"/>
  <c r="AO47" i="63"/>
  <c r="AR46" i="63"/>
  <c r="AO46" i="63"/>
  <c r="AR45" i="63"/>
  <c r="AO45" i="63"/>
  <c r="AR44" i="63"/>
  <c r="AO44" i="63"/>
  <c r="AR43" i="63"/>
  <c r="AO43" i="63"/>
  <c r="AR42" i="63"/>
  <c r="AO42" i="63"/>
  <c r="AR41" i="63"/>
  <c r="AO41" i="63"/>
  <c r="AR40" i="63"/>
  <c r="AO40" i="63"/>
  <c r="AR39" i="63"/>
  <c r="AO39" i="63"/>
  <c r="AR38" i="63"/>
  <c r="AO38" i="63"/>
  <c r="AR37" i="63"/>
  <c r="AO37" i="63"/>
  <c r="AR36" i="63"/>
  <c r="AO36" i="63"/>
  <c r="AR35" i="63"/>
  <c r="AO35" i="63"/>
  <c r="AR34" i="63"/>
  <c r="AO34" i="63"/>
  <c r="AR33" i="63"/>
  <c r="AO33" i="63"/>
  <c r="AR32" i="63"/>
  <c r="AO32" i="63"/>
  <c r="AR31" i="63"/>
  <c r="AO31" i="63"/>
  <c r="AR30" i="63"/>
  <c r="AO30" i="63"/>
  <c r="AR29" i="63"/>
  <c r="AO29" i="63"/>
  <c r="AR28" i="63"/>
  <c r="AO28" i="63"/>
  <c r="AR27" i="63"/>
  <c r="AO27" i="63"/>
  <c r="AR26" i="63"/>
  <c r="AO26" i="63"/>
  <c r="AR25" i="63"/>
  <c r="AO25" i="63"/>
  <c r="AR24" i="63"/>
  <c r="AO24" i="63"/>
  <c r="AR23" i="63"/>
  <c r="AO23" i="63"/>
  <c r="AR22" i="63"/>
  <c r="AO22" i="63"/>
  <c r="AR21" i="63"/>
  <c r="AO21" i="63"/>
  <c r="AR20" i="63"/>
  <c r="AO20" i="63"/>
  <c r="AR19" i="63"/>
  <c r="AO19" i="63"/>
  <c r="AR18" i="63"/>
  <c r="AO18" i="63"/>
  <c r="AR17" i="63"/>
  <c r="AO17" i="63"/>
  <c r="AR16" i="63"/>
  <c r="AO16" i="63"/>
  <c r="AR15" i="63"/>
  <c r="AO15" i="63"/>
  <c r="AR14" i="63"/>
  <c r="AO14" i="63"/>
  <c r="AR13" i="63"/>
  <c r="AO13" i="63"/>
  <c r="AR12" i="63"/>
  <c r="AO12" i="63"/>
  <c r="AR11" i="63"/>
  <c r="AO11" i="63"/>
  <c r="AR10" i="63"/>
  <c r="AO10" i="63"/>
  <c r="AR97" i="62"/>
  <c r="AR94" i="62"/>
  <c r="AR93" i="62"/>
  <c r="AR92" i="62"/>
  <c r="AR91" i="62"/>
  <c r="AO91" i="62"/>
  <c r="AR90" i="62"/>
  <c r="AO90" i="62"/>
  <c r="AR89" i="62"/>
  <c r="AO89" i="62"/>
  <c r="AR88" i="62"/>
  <c r="AO88" i="62"/>
  <c r="AR87" i="62"/>
  <c r="AO87" i="62"/>
  <c r="AR86" i="62"/>
  <c r="AO86" i="62"/>
  <c r="AR85" i="62"/>
  <c r="AO85" i="62"/>
  <c r="AR84" i="62"/>
  <c r="AO84" i="62"/>
  <c r="AR83" i="62"/>
  <c r="AO83" i="62"/>
  <c r="AR82" i="62"/>
  <c r="AO82" i="62"/>
  <c r="AR81" i="62"/>
  <c r="AO81" i="62"/>
  <c r="AR80" i="62"/>
  <c r="AO80" i="62"/>
  <c r="AR79" i="62"/>
  <c r="AO79" i="62"/>
  <c r="AR78" i="62"/>
  <c r="AO78" i="62"/>
  <c r="AR77" i="62"/>
  <c r="AO77" i="62"/>
  <c r="AR76" i="62"/>
  <c r="AO76" i="62"/>
  <c r="AR75" i="62"/>
  <c r="AO75" i="62"/>
  <c r="AR74" i="62"/>
  <c r="AO74" i="62"/>
  <c r="AR73" i="62"/>
  <c r="AO73" i="62"/>
  <c r="AR72" i="62"/>
  <c r="AO72" i="62"/>
  <c r="AR71" i="62"/>
  <c r="AO71" i="62"/>
  <c r="AR70" i="62"/>
  <c r="AO70" i="62"/>
  <c r="AR69" i="62"/>
  <c r="AO69" i="62"/>
  <c r="AR68" i="62"/>
  <c r="AO68" i="62"/>
  <c r="AR67" i="62"/>
  <c r="AO67" i="62"/>
  <c r="AR66" i="62"/>
  <c r="AO66" i="62"/>
  <c r="AR65" i="62"/>
  <c r="AO65" i="62"/>
  <c r="AR64" i="62"/>
  <c r="AO64" i="62"/>
  <c r="AR63" i="62"/>
  <c r="AO63" i="62"/>
  <c r="AR62" i="62"/>
  <c r="AO62" i="62"/>
  <c r="AR61" i="62"/>
  <c r="AO61" i="62"/>
  <c r="AR60" i="62"/>
  <c r="AO60" i="62"/>
  <c r="AR59" i="62"/>
  <c r="AO59" i="62"/>
  <c r="AR58" i="62"/>
  <c r="AO58" i="62"/>
  <c r="AR57" i="62"/>
  <c r="AO57" i="62"/>
  <c r="AR56" i="62"/>
  <c r="AO56" i="62"/>
  <c r="AR55" i="62"/>
  <c r="AO55" i="62"/>
  <c r="AR54" i="62"/>
  <c r="AO54" i="62"/>
  <c r="AR53" i="62"/>
  <c r="AO53" i="62"/>
  <c r="AR52" i="62"/>
  <c r="AO52" i="62"/>
  <c r="AR51" i="62"/>
  <c r="AO51" i="62"/>
  <c r="AR50" i="62"/>
  <c r="AO50" i="62"/>
  <c r="AR49" i="62"/>
  <c r="AO49" i="62"/>
  <c r="AR48" i="62"/>
  <c r="AO48" i="62"/>
  <c r="AR47" i="62"/>
  <c r="AO47" i="62"/>
  <c r="AO46" i="62"/>
  <c r="AR45" i="62"/>
  <c r="AO45" i="62"/>
  <c r="AR44" i="62"/>
  <c r="AO44" i="62"/>
  <c r="AR43" i="62"/>
  <c r="AO43" i="62"/>
  <c r="AR42" i="62"/>
  <c r="AO42" i="62"/>
  <c r="AR41" i="62"/>
  <c r="AO41" i="62"/>
  <c r="AR40" i="62"/>
  <c r="AO40" i="62"/>
  <c r="AR39" i="62"/>
  <c r="AO39" i="62"/>
  <c r="AR38" i="62"/>
  <c r="AO38" i="62"/>
  <c r="AR37" i="62"/>
  <c r="AO37" i="62"/>
  <c r="AR36" i="62"/>
  <c r="AO36" i="62"/>
  <c r="AR35" i="62"/>
  <c r="AO35" i="62"/>
  <c r="AR34" i="62"/>
  <c r="AO34" i="62"/>
  <c r="AR33" i="62"/>
  <c r="AO33" i="62"/>
  <c r="AR32" i="62"/>
  <c r="AO32" i="62"/>
  <c r="AR31" i="62"/>
  <c r="AO31" i="62"/>
  <c r="AR30" i="62"/>
  <c r="AO30" i="62"/>
  <c r="AR29" i="62"/>
  <c r="AO29" i="62"/>
  <c r="AR28" i="62"/>
  <c r="AO28" i="62"/>
  <c r="AR27" i="62"/>
  <c r="AO27" i="62"/>
  <c r="AR26" i="62"/>
  <c r="AO26" i="62"/>
  <c r="AR25" i="62"/>
  <c r="AO25" i="62"/>
  <c r="AR24" i="62"/>
  <c r="AO24" i="62"/>
  <c r="AR23" i="62"/>
  <c r="AO23" i="62"/>
  <c r="AR22" i="62"/>
  <c r="AO22" i="62"/>
  <c r="AR21" i="62"/>
  <c r="AO21" i="62"/>
  <c r="AR20" i="62"/>
  <c r="AO20" i="62"/>
  <c r="AR19" i="62"/>
  <c r="AO19" i="62"/>
  <c r="AR18" i="62"/>
  <c r="AO18" i="62"/>
  <c r="AR17" i="62"/>
  <c r="AO17" i="62"/>
  <c r="AR16" i="62"/>
  <c r="AO16" i="62"/>
  <c r="AR15" i="62"/>
  <c r="AO15" i="62"/>
  <c r="AR14" i="62"/>
  <c r="AO14" i="62"/>
  <c r="AR13" i="62"/>
  <c r="AO13" i="62"/>
  <c r="AR12" i="62"/>
  <c r="AO12" i="62"/>
  <c r="AR11" i="62"/>
  <c r="AO11" i="62"/>
  <c r="AR10" i="62"/>
  <c r="AO10" i="62"/>
  <c r="AR107" i="68"/>
  <c r="AO81" i="68"/>
  <c r="AR79" i="68"/>
  <c r="AO79" i="68"/>
  <c r="AR78" i="68"/>
  <c r="AO78" i="68"/>
  <c r="AR76" i="68"/>
  <c r="AO76" i="68"/>
  <c r="AR75" i="68"/>
  <c r="AO75" i="68"/>
  <c r="AR74" i="68"/>
  <c r="AO74" i="68"/>
  <c r="AR73" i="68"/>
  <c r="AO73" i="68"/>
  <c r="AR72" i="68"/>
  <c r="AO72" i="68"/>
  <c r="AR71" i="68"/>
  <c r="AO71" i="68"/>
  <c r="AR69" i="68"/>
  <c r="AO69" i="68"/>
  <c r="AR68" i="68"/>
  <c r="AO68" i="68"/>
  <c r="AR67" i="68"/>
  <c r="AO67" i="68"/>
  <c r="AR66" i="68"/>
  <c r="AO66" i="68"/>
  <c r="AR65" i="68"/>
  <c r="AO65" i="68"/>
  <c r="AR64" i="68"/>
  <c r="AO64" i="68"/>
  <c r="AR61" i="68"/>
  <c r="AO61" i="68"/>
  <c r="AR60" i="68"/>
  <c r="AO60" i="68"/>
  <c r="AR59" i="68"/>
  <c r="AO59" i="68"/>
  <c r="AR58" i="68"/>
  <c r="AO58" i="68"/>
  <c r="AR57" i="68"/>
  <c r="AO57" i="68"/>
  <c r="AR56" i="68"/>
  <c r="AO56" i="68"/>
  <c r="AR55" i="68"/>
  <c r="AO55" i="68"/>
  <c r="AR54" i="68"/>
  <c r="AO54" i="68"/>
  <c r="AR53" i="68"/>
  <c r="AO53" i="68"/>
  <c r="AR52" i="68"/>
  <c r="AO52" i="68"/>
  <c r="AR51" i="68"/>
  <c r="AO51" i="68"/>
  <c r="AR49" i="68"/>
  <c r="AO49" i="68"/>
  <c r="AR46" i="68"/>
  <c r="AO46" i="68"/>
  <c r="AR45" i="68"/>
  <c r="AO45" i="68"/>
  <c r="AR44" i="68"/>
  <c r="AO44" i="68"/>
  <c r="AR43" i="68"/>
  <c r="AO43" i="68"/>
  <c r="AR42" i="68"/>
  <c r="AO42" i="68"/>
  <c r="AR41" i="68"/>
  <c r="AO41" i="68"/>
  <c r="AR40" i="68"/>
  <c r="AO40" i="68"/>
  <c r="AR39" i="68"/>
  <c r="AO39" i="68"/>
  <c r="AR38" i="68"/>
  <c r="AO38" i="68"/>
  <c r="AR37" i="68"/>
  <c r="AO37" i="68"/>
  <c r="AR36" i="68"/>
  <c r="AO36" i="68"/>
  <c r="AR35" i="68"/>
  <c r="AO35" i="68"/>
  <c r="AR34" i="68"/>
  <c r="AO34" i="68"/>
  <c r="AR33" i="68"/>
  <c r="AO33" i="68"/>
  <c r="AR32" i="68"/>
  <c r="AO32" i="68"/>
  <c r="AR31" i="68"/>
  <c r="AO31" i="68"/>
  <c r="AR30" i="68"/>
  <c r="AO30" i="68"/>
  <c r="AR29" i="68"/>
  <c r="AO29" i="68"/>
  <c r="AR28" i="68"/>
  <c r="AO28" i="68"/>
  <c r="AR27" i="68"/>
  <c r="AO27" i="68"/>
  <c r="AR26" i="68"/>
  <c r="AO26" i="68"/>
  <c r="AR25" i="68"/>
  <c r="AO25" i="68"/>
  <c r="AR24" i="68"/>
  <c r="AO24" i="68"/>
  <c r="AR23" i="68"/>
  <c r="AO23" i="68"/>
  <c r="AR22" i="68"/>
  <c r="AO22" i="68"/>
  <c r="AR21" i="68"/>
  <c r="AO21" i="68"/>
  <c r="AR20" i="68"/>
  <c r="AO20" i="68"/>
  <c r="AR19" i="68"/>
  <c r="AO19" i="68"/>
  <c r="AR18" i="68"/>
  <c r="AO18" i="68"/>
  <c r="AR17" i="68"/>
  <c r="AO17" i="68"/>
  <c r="AR16" i="68"/>
  <c r="AO16" i="68"/>
  <c r="AR15" i="68"/>
  <c r="AO15" i="68"/>
  <c r="AR14" i="68"/>
  <c r="AO14" i="68"/>
  <c r="AR13" i="68"/>
  <c r="AO13" i="68"/>
  <c r="AR12" i="68"/>
  <c r="AO12" i="68"/>
  <c r="AR11" i="68"/>
  <c r="AO11" i="68"/>
  <c r="AR10" i="68"/>
  <c r="AO10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0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1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2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3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507757A7-B73A-448A-AF13-D1B329A57166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4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C7C0BB71-062B-4BD8-8CBD-C58D6CACDF3D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5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7D2C44BF-9C5A-43E1-ACA4-2F8B8B578137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00000000-0006-0000-0600-000001000000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A17C3874-8072-4D38-B690-38FE066B1331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BC93A416-7434-4D20-B8B1-465C088D27EA}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<sst xmlns="http://schemas.openxmlformats.org/spreadsheetml/2006/main" count="1644" uniqueCount="231">
  <si>
    <t>UBND TỈNH QUẢNG TRỊ</t>
  </si>
  <si>
    <t>CỘNG HÒA XÃ HỘI CHỦ NGHĨA VIỆT NAM</t>
  </si>
  <si>
    <t>TRƯỜNG CĐN QUẢNG TRỊ</t>
  </si>
  <si>
    <t>Độc lập - Tự do - Hạnh phúc</t>
  </si>
  <si>
    <t>LỊCH GIẢNG DẠY KHOA DU LỊCH - DỊCH VỤ VÀ CƠ BẢN</t>
  </si>
  <si>
    <t>THÁNG 8 NĂM HỌC 2026 - 2027</t>
  </si>
  <si>
    <t>Lớp</t>
  </si>
  <si>
    <t>Giáo viên</t>
  </si>
  <si>
    <t>Tuần</t>
  </si>
  <si>
    <t>Tổng</t>
  </si>
  <si>
    <t>Ghi chú</t>
  </si>
  <si>
    <t>Số giờ theo chương trình</t>
  </si>
  <si>
    <t>Số giờ còn lại</t>
  </si>
  <si>
    <t>Ngày/Thứ</t>
  </si>
  <si>
    <t>MH/MĐ</t>
  </si>
  <si>
    <t>Phòng học</t>
  </si>
  <si>
    <t>Ca/Tiết</t>
  </si>
  <si>
    <t>CN</t>
  </si>
  <si>
    <t>CĐ Chế biến MA-K6</t>
  </si>
  <si>
    <t>36/36</t>
  </si>
  <si>
    <t>Mai Ngọc Tân</t>
  </si>
  <si>
    <t>Chế biến món ăn Âu 2</t>
  </si>
  <si>
    <t>Chế biến 4</t>
  </si>
  <si>
    <t>C (6-9)</t>
  </si>
  <si>
    <t>Hoàng Thị Huyền</t>
  </si>
  <si>
    <t>Giáo dục thể chất</t>
  </si>
  <si>
    <t>Nhà đa năng</t>
  </si>
  <si>
    <t>48/48</t>
  </si>
  <si>
    <t>Sinh hoạt lớp</t>
  </si>
  <si>
    <t>1.1</t>
  </si>
  <si>
    <t>C (10)</t>
  </si>
  <si>
    <t>TC Quản lý NH-K3A&amp;3B</t>
  </si>
  <si>
    <t>Trần Phương Thúy</t>
  </si>
  <si>
    <t>Quản trị Bar</t>
  </si>
  <si>
    <t>Lệ Thủy</t>
  </si>
  <si>
    <t>104/108</t>
  </si>
  <si>
    <t>Lê Quốc Hoàng</t>
  </si>
  <si>
    <t>TC Chế biến MA-K45G&amp;H</t>
  </si>
  <si>
    <t>Võ Thị Thu Hà</t>
  </si>
  <si>
    <t>Chế biến món ăn Âu</t>
  </si>
  <si>
    <t>Bố Trạch</t>
  </si>
  <si>
    <t>96/144</t>
  </si>
  <si>
    <t>Trương Thị Ca Thi</t>
  </si>
  <si>
    <t>TC Chế biến MA-K45D&amp;E</t>
  </si>
  <si>
    <t>Ba Đồn</t>
  </si>
  <si>
    <t>S (1-4)</t>
  </si>
  <si>
    <t>144/144</t>
  </si>
  <si>
    <t>TC Chế biến MA-K45E&amp;F</t>
  </si>
  <si>
    <t>Dương Thị Tùng Ái</t>
  </si>
  <si>
    <t>132/144</t>
  </si>
  <si>
    <t>Cao Sỹ Linh</t>
  </si>
  <si>
    <t>S (5)</t>
  </si>
  <si>
    <t>TC Chế biến MA-K45C</t>
  </si>
  <si>
    <t>Quảng Trạch</t>
  </si>
  <si>
    <t>TC Chế biến MA-K45I</t>
  </si>
  <si>
    <t>Phan Thị Phương Thảo</t>
  </si>
  <si>
    <t>Tuyên Hóa</t>
  </si>
  <si>
    <t>CĐ Chế biến MA-K7</t>
  </si>
  <si>
    <t>Trần Thị Anh</t>
  </si>
  <si>
    <t>Tiếng Anh</t>
  </si>
  <si>
    <t>48/96</t>
  </si>
  <si>
    <t>Giáo dục chính trị</t>
  </si>
  <si>
    <t>52/60</t>
  </si>
  <si>
    <t>Lê Vân</t>
  </si>
  <si>
    <t>Văn hoá ẩm thực</t>
  </si>
  <si>
    <t>2.2</t>
  </si>
  <si>
    <t>24/24</t>
  </si>
  <si>
    <t>Chế biến bánh và món tráng miệng</t>
  </si>
  <si>
    <t>Chế biến 1</t>
  </si>
  <si>
    <t>12/48</t>
  </si>
  <si>
    <t>TC Chế biến MA-K46A</t>
  </si>
  <si>
    <t>2.1</t>
  </si>
  <si>
    <t>72/72</t>
  </si>
  <si>
    <t>Thương phẩm và an toàn thực phẩm</t>
  </si>
  <si>
    <t>S (2-5)</t>
  </si>
  <si>
    <t>Giáo dục quốc phòng và an ninh</t>
  </si>
  <si>
    <t>S (1)</t>
  </si>
  <si>
    <t>TC Chế biến MA-K46B</t>
  </si>
  <si>
    <t>2.5</t>
  </si>
  <si>
    <t>TC MayTT-K32</t>
  </si>
  <si>
    <t>Thiết kế áo Jacket, Veston nữ 1 lớp</t>
  </si>
  <si>
    <t>3.5</t>
  </si>
  <si>
    <t>Nuyễn Thị Phương Ánh</t>
  </si>
  <si>
    <t>May áo sơ mi nam, nữ</t>
  </si>
  <si>
    <t>Xưởng may 1</t>
  </si>
  <si>
    <t>S (1-4; 2-5)</t>
  </si>
  <si>
    <t>120/120</t>
  </si>
  <si>
    <t>Nguyễn Thị Phương Ánh</t>
  </si>
  <si>
    <t>TC Chế biến MA-K46C&amp;D</t>
  </si>
  <si>
    <t>Môi trường và an ninh-an toàn trong du lịch</t>
  </si>
  <si>
    <t>S (1-5)</t>
  </si>
  <si>
    <t>TC Tin học-K1A&amp;B</t>
  </si>
  <si>
    <t>Lắp ráp và bảo trì máy tính</t>
  </si>
  <si>
    <t>44/60</t>
  </si>
  <si>
    <t>Hệ điều hành Windows Server</t>
  </si>
  <si>
    <t>44/48</t>
  </si>
  <si>
    <t>TC Chế biến MA-K46E</t>
  </si>
  <si>
    <t>73/73</t>
  </si>
  <si>
    <t>Tổng quan du lịch và khách sạn</t>
  </si>
  <si>
    <t>20/24</t>
  </si>
  <si>
    <t>16/24</t>
  </si>
  <si>
    <t>TC Chế biến MA-K46G</t>
  </si>
  <si>
    <t>84/96</t>
  </si>
  <si>
    <t>TC Chế biến MA-K46F</t>
  </si>
  <si>
    <t>Lê Thị Hà Tiên</t>
  </si>
  <si>
    <t>Hướng Hoá</t>
  </si>
  <si>
    <t>70/72</t>
  </si>
  <si>
    <t>TC Chế biến MA-K47A</t>
  </si>
  <si>
    <t>TT Hướng Hoá (Học và dạy online)</t>
  </si>
  <si>
    <t>T (11-14)</t>
  </si>
  <si>
    <t>Tâm lý và kỹ năng giao tiếp ứng xử với khách du lịch</t>
  </si>
  <si>
    <t>8/36</t>
  </si>
  <si>
    <t>T (15)</t>
  </si>
  <si>
    <t>CĐ Chế biến MA-K8</t>
  </si>
  <si>
    <t>8/24</t>
  </si>
  <si>
    <t>Tổng luận chế biến</t>
  </si>
  <si>
    <t>8/48</t>
  </si>
  <si>
    <t>Nguyễn Hoàng Vũ</t>
  </si>
  <si>
    <t>Nghiệp vụ thanh toán</t>
  </si>
  <si>
    <t>Tin học</t>
  </si>
  <si>
    <t>TH Tin</t>
  </si>
  <si>
    <t>4/60</t>
  </si>
  <si>
    <t>TC Chế biến MA-K47B</t>
  </si>
  <si>
    <t>Hoàng Thị Mỹ Hạnh</t>
  </si>
  <si>
    <t>4/24</t>
  </si>
  <si>
    <t>4/36</t>
  </si>
  <si>
    <t>TC Chế biến MA-K47C</t>
  </si>
  <si>
    <t>TC MayTT-K33</t>
  </si>
  <si>
    <t>3.4</t>
  </si>
  <si>
    <t>12/72</t>
  </si>
  <si>
    <t>Vẽ kỹ thuật ngành may</t>
  </si>
  <si>
    <t>8/12</t>
  </si>
  <si>
    <t>Ghi chú: Các lớp học tại trường sinh hoạt tiết 1 sáng thứ 2 hàng tuần.</t>
  </si>
  <si>
    <t>Quảng Trị, ngày  13  tháng 8 năm 2026</t>
  </si>
  <si>
    <t>DUYỆT</t>
  </si>
  <si>
    <t>TP ĐÀO TẠO &amp; CTHSSV</t>
  </si>
  <si>
    <t>NGƯỜI LẬP</t>
  </si>
  <si>
    <t>Nguyễn Trường Thi</t>
  </si>
  <si>
    <t>Hà Việt Hải</t>
  </si>
  <si>
    <t>THÁNG 9 NĂM HỌC 2026 - 2027</t>
  </si>
  <si>
    <t>Chế biến món ăn Việt Nam</t>
  </si>
  <si>
    <t>Khai giảng năm học 2026 - 2027</t>
  </si>
  <si>
    <t>Quản trị tác nghiệp</t>
  </si>
  <si>
    <t>3.1</t>
  </si>
  <si>
    <t>16/36</t>
  </si>
  <si>
    <t>Xây dựng thực đơn</t>
  </si>
  <si>
    <t>TH Bar</t>
  </si>
  <si>
    <t>20/36</t>
  </si>
  <si>
    <t>Kỹ thuật pha chế đồ uống</t>
  </si>
  <si>
    <t>Chế biến món ăn Á 1</t>
  </si>
  <si>
    <t>56/144</t>
  </si>
  <si>
    <t>Nghiệp vụ nhà hàng</t>
  </si>
  <si>
    <t>Chế biến món ăn Á</t>
  </si>
  <si>
    <t>Chế biến 2</t>
  </si>
  <si>
    <t>52/144</t>
  </si>
  <si>
    <t>May áo Jacket</t>
  </si>
  <si>
    <t>32/72</t>
  </si>
  <si>
    <t>May quần âu nam, nữ, váy</t>
  </si>
  <si>
    <t>52/120</t>
  </si>
  <si>
    <t>24/144</t>
  </si>
  <si>
    <t>Quản trị cơ sở dữ liệu với SQL Server</t>
  </si>
  <si>
    <t>24/48</t>
  </si>
  <si>
    <t>36/144</t>
  </si>
  <si>
    <t>20/60</t>
  </si>
  <si>
    <t>28/60</t>
  </si>
  <si>
    <t>24/36</t>
  </si>
  <si>
    <t>40/72</t>
  </si>
  <si>
    <t>12/12</t>
  </si>
  <si>
    <t>Vật liệu may</t>
  </si>
  <si>
    <t>Quảng Trị, ngày  28  tháng 8 năm 2026</t>
  </si>
  <si>
    <t>LỊCH GIẢNG DẠY TRUNG TÂM GDNN - GDTX BỐ TRẠCH</t>
  </si>
  <si>
    <t>LỊCH GIẢNG DẠY TRUNG TÂM GDNN - GDTX BA ĐỒN</t>
  </si>
  <si>
    <t xml:space="preserve"> TC ĐIỆN CN-K30B</t>
  </si>
  <si>
    <t>Tiếng anh</t>
  </si>
  <si>
    <t>Trương Thùy Dung</t>
  </si>
  <si>
    <t>TT QUẢNG TRẠCH</t>
  </si>
  <si>
    <t>27/27</t>
  </si>
  <si>
    <t>C(6-9)</t>
  </si>
  <si>
    <t>LỊCH GIẢNG DẠY TRUNG TÂM GDNN - GDTX TUYÊN HOÁ</t>
  </si>
  <si>
    <t>LỊCH GIẢNG DẠY TRUNG TÂM GDNN - GDTX HƯỚNG HOÁ</t>
  </si>
  <si>
    <t>ĐIỆN CÔNG NGHIỆP -K30C</t>
  </si>
  <si>
    <t>TT HƯỚNG HÓA</t>
  </si>
  <si>
    <t>S(1-4)</t>
  </si>
  <si>
    <t>Điều khiển điện khí nén</t>
  </si>
  <si>
    <t>Phan Thanh Bình</t>
  </si>
  <si>
    <t>12/45</t>
  </si>
  <si>
    <t>THÁNG 10 NĂM HỌC 2026 - 2027</t>
  </si>
  <si>
    <t>32/36</t>
  </si>
  <si>
    <t>104/144</t>
  </si>
  <si>
    <t>100/144</t>
  </si>
  <si>
    <t>64/72</t>
  </si>
  <si>
    <t>100/120</t>
  </si>
  <si>
    <t>48/144</t>
  </si>
  <si>
    <t>Thiết kế và quản trị Website</t>
  </si>
  <si>
    <t>72/144</t>
  </si>
  <si>
    <t>Pháp luật</t>
  </si>
  <si>
    <t>4/12</t>
  </si>
  <si>
    <t>36/60</t>
  </si>
  <si>
    <t>40/48</t>
  </si>
  <si>
    <t>Mỹ thuật trang phục</t>
  </si>
  <si>
    <t>Thiết bị may</t>
  </si>
  <si>
    <t>Thiết kế áo sơ mi, quần âu, váy</t>
  </si>
  <si>
    <t>TC Chế biến MA-K47D</t>
  </si>
  <si>
    <t>TT Hướng Hoá</t>
  </si>
  <si>
    <t>TT Đakrông</t>
  </si>
  <si>
    <t>TC Chế biến MA-K47E</t>
  </si>
  <si>
    <t>28/28</t>
  </si>
  <si>
    <t>14/14</t>
  </si>
  <si>
    <t>Quảng Trị, ngày  28  tháng 9 năm 2026</t>
  </si>
  <si>
    <t>12/24</t>
  </si>
  <si>
    <t xml:space="preserve"> TC ĐIỆN CÔNG NGHIỆP-K30B</t>
  </si>
  <si>
    <t>35/35</t>
  </si>
  <si>
    <t>Cung cấp điện</t>
  </si>
  <si>
    <t>LỊCH GIẢNG DẠY TRUNG TÂM GDNN - GDTX ĐAKRÔNG</t>
  </si>
  <si>
    <t>60/144</t>
  </si>
  <si>
    <t>04/12</t>
  </si>
  <si>
    <t>0/12</t>
  </si>
  <si>
    <t>0/96</t>
  </si>
  <si>
    <t>TT Lệ Thuỷ</t>
  </si>
  <si>
    <t>TC Chế biến MA-K47F &amp; G</t>
  </si>
  <si>
    <t>24/72</t>
  </si>
  <si>
    <t>TT Bố Trạch</t>
  </si>
  <si>
    <t>TT Tuyên Hoá</t>
  </si>
  <si>
    <t>TT Ba Đồn</t>
  </si>
  <si>
    <t>16/16</t>
  </si>
  <si>
    <t>8/8</t>
  </si>
  <si>
    <t>TC Tin học-K2</t>
  </si>
  <si>
    <t>Quảng Trị, ngày  11  tháng 10 năm 2026</t>
  </si>
  <si>
    <t>THÁNG 10 NĂM HỌC 2026 - 2027 (ĐIỀU CHỈNH - BỔ SUNG)</t>
  </si>
  <si>
    <t>TC Chế biến MA-K47J</t>
  </si>
  <si>
    <t>TC Chế biến MA-K47H &amp;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</si>
</sst>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4"/>
      <color theme="1"/>
      <name val="Times New Roman"/>
      <charset val="163"/>
    </font>
    <font>
      <sz val="10"/>
      <color theme="1"/>
      <name val="Times New Roman"/>
      <charset val="134"/>
    </font>
    <font>
      <sz val="12"/>
      <color theme="1"/>
      <name val="Times New Roman"/>
      <charset val="163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sz val="12"/>
      <name val="Times New Roman"/>
      <charset val="134"/>
    </font>
    <font>
      <sz val="12"/>
      <name val="Times New Roman"/>
      <charset val="163"/>
    </font>
    <font>
      <b/>
      <i/>
      <sz val="12"/>
      <color theme="1"/>
      <name val="Times New Roman"/>
      <charset val="134"/>
    </font>
    <font>
      <sz val="12"/>
      <color rgb="FFFF0000"/>
      <name val="Times New Roman"/>
      <charset val="163"/>
    </font>
    <font>
      <i/>
      <sz val="14"/>
      <color theme="1"/>
      <name val="Times New Roman"/>
      <charset val="134"/>
    </font>
    <font>
      <sz val="11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9" fontId="2" fillId="0" borderId="0" xfId="0" applyNumberFormat="1" applyFont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textRotation="90"/>
    </xf>
    <xf numFmtId="0" fontId="15" fillId="0" borderId="1" xfId="0" quotePrefix="1" applyFont="1" applyBorder="1" applyAlignment="1">
      <alignment horizontal="center" vertical="center"/>
    </xf>
    <xf numFmtId="17" fontId="15" fillId="0" borderId="1" xfId="0" quotePrefix="1" applyNumberFormat="1" applyFont="1" applyBorder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/>
    <xf numFmtId="0" fontId="16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0" fillId="0" borderId="8" xfId="0" applyBorder="1"/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2" fillId="0" borderId="9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5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5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7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7" fontId="7" fillId="0" borderId="1" xfId="0" quotePrefix="1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514413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860234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860234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860234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C418D0F-44F0-44F7-B35A-8B910E57327D}"/>
            </a:ext>
          </a:extLst>
        </xdr:cNvPr>
        <xdr:cNvCxnSpPr/>
      </xdr:nvCxnSpPr>
      <xdr:spPr>
        <a:xfrm>
          <a:off x="1293495" y="457200"/>
          <a:ext cx="16592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5872018-3C8A-4918-B9D0-69E4B70965D6}"/>
            </a:ext>
          </a:extLst>
        </xdr:cNvPr>
        <xdr:cNvCxnSpPr/>
      </xdr:nvCxnSpPr>
      <xdr:spPr>
        <a:xfrm flipV="1">
          <a:off x="8303894" y="457200"/>
          <a:ext cx="166878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860234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492379B-0C1E-439D-AF60-17145F239935}"/>
            </a:ext>
          </a:extLst>
        </xdr:cNvPr>
        <xdr:cNvCxnSpPr/>
      </xdr:nvCxnSpPr>
      <xdr:spPr>
        <a:xfrm>
          <a:off x="1293495" y="457200"/>
          <a:ext cx="16592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2BC0ACC-6979-4E1C-8BE0-90578B393FB3}"/>
            </a:ext>
          </a:extLst>
        </xdr:cNvPr>
        <xdr:cNvCxnSpPr/>
      </xdr:nvCxnSpPr>
      <xdr:spPr>
        <a:xfrm flipV="1">
          <a:off x="8303894" y="457200"/>
          <a:ext cx="166878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V="1">
          <a:off x="860234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F067988-E00A-4F92-B606-064DA7F1E4CB}"/>
            </a:ext>
          </a:extLst>
        </xdr:cNvPr>
        <xdr:cNvCxnSpPr/>
      </xdr:nvCxnSpPr>
      <xdr:spPr>
        <a:xfrm>
          <a:off x="1293495" y="457200"/>
          <a:ext cx="16592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938E708-BE98-40DF-8395-55C601C23B59}"/>
            </a:ext>
          </a:extLst>
        </xdr:cNvPr>
        <xdr:cNvCxnSpPr/>
      </xdr:nvCxnSpPr>
      <xdr:spPr>
        <a:xfrm flipV="1">
          <a:off x="8303894" y="457200"/>
          <a:ext cx="166878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315720" y="457200"/>
          <a:ext cx="1715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 flipV="1">
          <a:off x="8602345" y="457200"/>
          <a:ext cx="17405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B8E0F5-7215-4FA7-AC28-D3C713615B5C}"/>
            </a:ext>
          </a:extLst>
        </xdr:cNvPr>
        <xdr:cNvCxnSpPr/>
      </xdr:nvCxnSpPr>
      <xdr:spPr>
        <a:xfrm>
          <a:off x="1293495" y="457200"/>
          <a:ext cx="16592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890A8F-1A91-4AB7-9E99-DD0D069EB659}"/>
            </a:ext>
          </a:extLst>
        </xdr:cNvPr>
        <xdr:cNvCxnSpPr/>
      </xdr:nvCxnSpPr>
      <xdr:spPr>
        <a:xfrm flipV="1">
          <a:off x="8303894" y="457200"/>
          <a:ext cx="166878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2</xdr:row>
      <xdr:rowOff>0</xdr:rowOff>
    </xdr:from>
    <xdr:to>
      <xdr:col>2</xdr:col>
      <xdr:colOff>838200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928D2BE-8F0F-4E0D-B1D1-79990AC033C8}"/>
            </a:ext>
          </a:extLst>
        </xdr:cNvPr>
        <xdr:cNvCxnSpPr/>
      </xdr:nvCxnSpPr>
      <xdr:spPr>
        <a:xfrm>
          <a:off x="1293495" y="457200"/>
          <a:ext cx="16592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236219</xdr:colOff>
      <xdr:row>2</xdr:row>
      <xdr:rowOff>0</xdr:rowOff>
    </xdr:from>
    <xdr:to>
      <xdr:col>27</xdr:col>
      <xdr:colOff>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02BA63-B43D-4321-BBE6-2F16C5C9A2B3}"/>
            </a:ext>
          </a:extLst>
        </xdr:cNvPr>
        <xdr:cNvCxnSpPr/>
      </xdr:nvCxnSpPr>
      <xdr:spPr>
        <a:xfrm flipV="1">
          <a:off x="8303894" y="457200"/>
          <a:ext cx="166878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4"/>
  <sheetViews>
    <sheetView topLeftCell="A82" workbookViewId="0">
      <selection activeCell="B89" sqref="B89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19" width="2.78515625" hidden="1" customWidth="1"/>
    <col min="20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4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1</v>
      </c>
      <c r="U7" s="93"/>
      <c r="V7" s="93"/>
      <c r="W7" s="93"/>
      <c r="X7" s="93"/>
      <c r="Y7" s="93"/>
      <c r="Z7" s="94"/>
      <c r="AA7" s="92">
        <v>2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3</v>
      </c>
      <c r="G8" s="10">
        <v>4</v>
      </c>
      <c r="H8" s="7">
        <v>5</v>
      </c>
      <c r="I8" s="10">
        <v>6</v>
      </c>
      <c r="J8" s="7">
        <v>7</v>
      </c>
      <c r="K8" s="10">
        <v>8</v>
      </c>
      <c r="L8" s="7">
        <v>9</v>
      </c>
      <c r="M8" s="10">
        <v>10</v>
      </c>
      <c r="N8" s="7">
        <v>11</v>
      </c>
      <c r="O8" s="10">
        <v>12</v>
      </c>
      <c r="P8" s="7">
        <v>13</v>
      </c>
      <c r="Q8" s="10">
        <v>14</v>
      </c>
      <c r="R8" s="7">
        <v>15</v>
      </c>
      <c r="S8" s="10">
        <v>16</v>
      </c>
      <c r="T8" s="7">
        <v>17</v>
      </c>
      <c r="U8" s="10">
        <v>18</v>
      </c>
      <c r="V8" s="7">
        <v>19</v>
      </c>
      <c r="W8" s="10">
        <v>20</v>
      </c>
      <c r="X8" s="7">
        <v>21</v>
      </c>
      <c r="Y8" s="10">
        <v>22</v>
      </c>
      <c r="Z8" s="7">
        <v>23</v>
      </c>
      <c r="AA8" s="10">
        <v>24</v>
      </c>
      <c r="AB8" s="7">
        <v>25</v>
      </c>
      <c r="AC8" s="10">
        <v>26</v>
      </c>
      <c r="AD8" s="7">
        <v>27</v>
      </c>
      <c r="AE8" s="10">
        <v>28</v>
      </c>
      <c r="AF8" s="7">
        <v>29</v>
      </c>
      <c r="AG8" s="10">
        <v>30</v>
      </c>
      <c r="AH8" s="10"/>
      <c r="AI8" s="7"/>
      <c r="AJ8" s="10"/>
      <c r="AK8" s="7"/>
      <c r="AL8" s="10"/>
      <c r="AM8" s="7"/>
      <c r="AN8" s="10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s="2" customFormat="1" ht="20.149999999999999" hidden="1" customHeight="1">
      <c r="A10" s="75" t="s">
        <v>18</v>
      </c>
      <c r="B10" s="26"/>
      <c r="C10" s="27"/>
      <c r="D10" s="8"/>
      <c r="E10" s="43"/>
      <c r="F10" s="25"/>
      <c r="G10" s="2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>SUM(F10:AN10)</f>
        <v>0</v>
      </c>
      <c r="AP10" s="51" t="s">
        <v>19</v>
      </c>
      <c r="AQ10" s="19">
        <v>45</v>
      </c>
      <c r="AR10" s="19">
        <f t="shared" ref="AR10:AR73" si="0">IF(AQ10="","",AQ10-(AQ10*$AS$9))</f>
        <v>36</v>
      </c>
    </row>
    <row r="11" spans="1:45" s="2" customFormat="1" ht="29.5" hidden="1" customHeight="1">
      <c r="A11" s="75"/>
      <c r="B11" s="26" t="s">
        <v>20</v>
      </c>
      <c r="C11" s="27" t="s">
        <v>21</v>
      </c>
      <c r="D11" s="8" t="s">
        <v>22</v>
      </c>
      <c r="E11" s="43" t="s">
        <v>23</v>
      </c>
      <c r="F11" s="50"/>
      <c r="G11" s="50"/>
      <c r="H11" s="16"/>
      <c r="I11" s="16"/>
      <c r="J11" s="16"/>
      <c r="K11" s="17"/>
      <c r="L11" s="17"/>
      <c r="M11" s="16"/>
      <c r="N11" s="16"/>
      <c r="O11" s="16"/>
      <c r="P11" s="16"/>
      <c r="Q11" s="16"/>
      <c r="R11" s="17"/>
      <c r="S11" s="17"/>
      <c r="T11" s="16"/>
      <c r="U11" s="16"/>
      <c r="V11" s="16"/>
      <c r="W11" s="16"/>
      <c r="X11" s="16"/>
      <c r="Y11" s="17"/>
      <c r="Z11" s="17"/>
      <c r="AA11" s="16"/>
      <c r="AB11" s="16"/>
      <c r="AC11" s="16"/>
      <c r="AD11" s="16"/>
      <c r="AE11" s="16"/>
      <c r="AF11" s="17"/>
      <c r="AG11" s="17"/>
      <c r="AH11" s="16"/>
      <c r="AI11" s="16"/>
      <c r="AJ11" s="16"/>
      <c r="AK11" s="16"/>
      <c r="AL11" s="16"/>
      <c r="AM11" s="17"/>
      <c r="AN11" s="17"/>
      <c r="AO11" s="16">
        <f t="shared" ref="AO11:AO63" si="1">SUM(F11:AN11)</f>
        <v>0</v>
      </c>
      <c r="AP11" s="51" t="s">
        <v>19</v>
      </c>
      <c r="AQ11" s="19">
        <v>45</v>
      </c>
      <c r="AR11" s="19">
        <f t="shared" si="0"/>
        <v>36</v>
      </c>
    </row>
    <row r="12" spans="1:45" s="2" customFormat="1" ht="18.75" hidden="1" customHeight="1">
      <c r="A12" s="75"/>
      <c r="B12" s="26" t="s">
        <v>24</v>
      </c>
      <c r="C12" s="27" t="s">
        <v>25</v>
      </c>
      <c r="D12" s="8" t="s">
        <v>26</v>
      </c>
      <c r="E12" s="43" t="s">
        <v>23</v>
      </c>
      <c r="F12" s="50"/>
      <c r="G12" s="50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1"/>
        <v>0</v>
      </c>
      <c r="AP12" s="52" t="s">
        <v>27</v>
      </c>
      <c r="AQ12" s="19">
        <v>60</v>
      </c>
      <c r="AR12" s="19">
        <f t="shared" si="0"/>
        <v>48</v>
      </c>
    </row>
    <row r="13" spans="1:45" s="2" customFormat="1" ht="20.25" hidden="1" customHeight="1">
      <c r="A13" s="75"/>
      <c r="B13" s="26" t="s">
        <v>24</v>
      </c>
      <c r="C13" s="23" t="s">
        <v>28</v>
      </c>
      <c r="D13" s="8" t="s">
        <v>29</v>
      </c>
      <c r="E13" s="44" t="s">
        <v>30</v>
      </c>
      <c r="F13" s="25"/>
      <c r="G13" s="25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7"/>
      <c r="AG13" s="17"/>
      <c r="AH13" s="16"/>
      <c r="AI13" s="16"/>
      <c r="AJ13" s="16"/>
      <c r="AK13" s="16"/>
      <c r="AL13" s="16"/>
      <c r="AM13" s="17"/>
      <c r="AN13" s="17"/>
      <c r="AO13" s="16">
        <f t="shared" si="1"/>
        <v>0</v>
      </c>
      <c r="AP13" s="16"/>
      <c r="AQ13" s="19"/>
      <c r="AR13" s="19" t="str">
        <f t="shared" si="0"/>
        <v/>
      </c>
    </row>
    <row r="14" spans="1:45" ht="42" hidden="1" customHeight="1">
      <c r="A14" s="75" t="s">
        <v>31</v>
      </c>
      <c r="B14" s="26" t="s">
        <v>32</v>
      </c>
      <c r="C14" s="26" t="s">
        <v>33</v>
      </c>
      <c r="D14" s="8" t="s">
        <v>34</v>
      </c>
      <c r="E14" s="24" t="s">
        <v>23</v>
      </c>
      <c r="F14" s="25"/>
      <c r="G14" s="25"/>
      <c r="H14" s="16"/>
      <c r="I14" s="16"/>
      <c r="J14" s="16"/>
      <c r="K14" s="17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/>
      <c r="Z14" s="17"/>
      <c r="AA14" s="16"/>
      <c r="AB14" s="16"/>
      <c r="AC14" s="16"/>
      <c r="AD14" s="16"/>
      <c r="AE14" s="16"/>
      <c r="AF14" s="17"/>
      <c r="AG14" s="17"/>
      <c r="AH14" s="16"/>
      <c r="AI14" s="16"/>
      <c r="AJ14" s="16"/>
      <c r="AK14" s="16"/>
      <c r="AL14" s="16"/>
      <c r="AM14" s="17"/>
      <c r="AN14" s="17"/>
      <c r="AO14" s="16">
        <f t="shared" si="1"/>
        <v>0</v>
      </c>
      <c r="AP14" s="51" t="s">
        <v>35</v>
      </c>
      <c r="AQ14" s="45">
        <v>135</v>
      </c>
      <c r="AR14" s="19">
        <f t="shared" si="0"/>
        <v>108</v>
      </c>
    </row>
    <row r="15" spans="1:45" hidden="1">
      <c r="A15" s="75"/>
      <c r="B15" s="46" t="s">
        <v>36</v>
      </c>
      <c r="C15" s="46" t="s">
        <v>28</v>
      </c>
      <c r="D15" s="16" t="s">
        <v>34</v>
      </c>
      <c r="E15" s="24" t="s">
        <v>30</v>
      </c>
      <c r="F15" s="25"/>
      <c r="G15" s="25"/>
      <c r="H15" s="16"/>
      <c r="I15" s="16"/>
      <c r="J15" s="16"/>
      <c r="K15" s="17"/>
      <c r="L15" s="17"/>
      <c r="M15" s="16"/>
      <c r="N15" s="16"/>
      <c r="O15" s="16"/>
      <c r="P15" s="16"/>
      <c r="Q15" s="16"/>
      <c r="R15" s="17"/>
      <c r="S15" s="17"/>
      <c r="T15" s="16"/>
      <c r="U15" s="16"/>
      <c r="V15" s="16"/>
      <c r="W15" s="16"/>
      <c r="X15" s="16"/>
      <c r="Y15" s="17"/>
      <c r="Z15" s="17"/>
      <c r="AA15" s="16"/>
      <c r="AB15" s="16"/>
      <c r="AC15" s="16"/>
      <c r="AD15" s="16"/>
      <c r="AE15" s="16"/>
      <c r="AF15" s="17"/>
      <c r="AG15" s="17"/>
      <c r="AH15" s="16"/>
      <c r="AI15" s="16"/>
      <c r="AJ15" s="16"/>
      <c r="AK15" s="16"/>
      <c r="AL15" s="16"/>
      <c r="AM15" s="17"/>
      <c r="AN15" s="17"/>
      <c r="AO15" s="16">
        <f t="shared" si="1"/>
        <v>0</v>
      </c>
      <c r="AP15" s="16"/>
      <c r="AQ15" s="45"/>
      <c r="AR15" s="19" t="str">
        <f t="shared" si="0"/>
        <v/>
      </c>
    </row>
    <row r="16" spans="1:45" ht="41.15" hidden="1" customHeight="1">
      <c r="A16" s="84" t="s">
        <v>37</v>
      </c>
      <c r="B16" s="26" t="s">
        <v>38</v>
      </c>
      <c r="C16" s="23" t="s">
        <v>39</v>
      </c>
      <c r="D16" s="16" t="s">
        <v>40</v>
      </c>
      <c r="E16" s="24" t="s">
        <v>23</v>
      </c>
      <c r="F16" s="25"/>
      <c r="G16" s="25"/>
      <c r="H16" s="16"/>
      <c r="I16" s="16"/>
      <c r="J16" s="16"/>
      <c r="K16" s="17"/>
      <c r="L16" s="17"/>
      <c r="M16" s="16"/>
      <c r="N16" s="16"/>
      <c r="O16" s="16"/>
      <c r="P16" s="16"/>
      <c r="Q16" s="16"/>
      <c r="R16" s="17"/>
      <c r="S16" s="17"/>
      <c r="T16" s="16"/>
      <c r="U16" s="16"/>
      <c r="V16" s="16"/>
      <c r="W16" s="16"/>
      <c r="X16" s="16"/>
      <c r="Y16" s="17"/>
      <c r="Z16" s="17"/>
      <c r="AA16" s="16"/>
      <c r="AB16" s="16"/>
      <c r="AC16" s="16"/>
      <c r="AD16" s="16"/>
      <c r="AE16" s="16"/>
      <c r="AF16" s="17"/>
      <c r="AG16" s="17"/>
      <c r="AH16" s="16"/>
      <c r="AI16" s="16"/>
      <c r="AJ16" s="16"/>
      <c r="AK16" s="16"/>
      <c r="AL16" s="16"/>
      <c r="AM16" s="17"/>
      <c r="AN16" s="17"/>
      <c r="AO16" s="16">
        <f t="shared" si="1"/>
        <v>0</v>
      </c>
      <c r="AP16" s="51" t="s">
        <v>41</v>
      </c>
      <c r="AQ16" s="45">
        <v>90</v>
      </c>
      <c r="AR16" s="19">
        <f t="shared" si="0"/>
        <v>72</v>
      </c>
    </row>
    <row r="17" spans="1:44" ht="21.65" hidden="1" customHeight="1">
      <c r="A17" s="83"/>
      <c r="B17" s="26" t="s">
        <v>42</v>
      </c>
      <c r="C17" s="26" t="s">
        <v>28</v>
      </c>
      <c r="D17" s="16" t="s">
        <v>40</v>
      </c>
      <c r="E17" s="24" t="s">
        <v>30</v>
      </c>
      <c r="F17" s="25"/>
      <c r="G17" s="25"/>
      <c r="H17" s="47"/>
      <c r="I17" s="47"/>
      <c r="J17" s="16"/>
      <c r="K17" s="48"/>
      <c r="L17" s="48"/>
      <c r="M17" s="47"/>
      <c r="N17" s="16"/>
      <c r="O17" s="16"/>
      <c r="P17" s="16"/>
      <c r="Q17" s="47"/>
      <c r="R17" s="48"/>
      <c r="S17" s="48"/>
      <c r="T17" s="47"/>
      <c r="U17" s="47"/>
      <c r="V17" s="16"/>
      <c r="W17" s="16"/>
      <c r="X17" s="47"/>
      <c r="Y17" s="48"/>
      <c r="Z17" s="48"/>
      <c r="AA17" s="47"/>
      <c r="AB17" s="16"/>
      <c r="AC17" s="16"/>
      <c r="AD17" s="16"/>
      <c r="AE17" s="47"/>
      <c r="AF17" s="48"/>
      <c r="AG17" s="48"/>
      <c r="AH17" s="47"/>
      <c r="AI17" s="47"/>
      <c r="AJ17" s="47"/>
      <c r="AK17" s="47"/>
      <c r="AL17" s="16"/>
      <c r="AM17" s="17"/>
      <c r="AN17" s="17"/>
      <c r="AO17" s="16">
        <f t="shared" si="1"/>
        <v>0</v>
      </c>
      <c r="AP17" s="16"/>
      <c r="AQ17" s="45"/>
      <c r="AR17" s="19" t="str">
        <f t="shared" si="0"/>
        <v/>
      </c>
    </row>
    <row r="18" spans="1:44" ht="24" hidden="1" customHeight="1">
      <c r="A18" s="75" t="s">
        <v>43</v>
      </c>
      <c r="B18" s="77" t="s">
        <v>38</v>
      </c>
      <c r="C18" s="90" t="s">
        <v>39</v>
      </c>
      <c r="D18" s="84" t="s">
        <v>44</v>
      </c>
      <c r="E18" s="24" t="s">
        <v>45</v>
      </c>
      <c r="F18" s="25"/>
      <c r="G18" s="25"/>
      <c r="H18" s="16"/>
      <c r="I18" s="16"/>
      <c r="J18" s="16"/>
      <c r="K18" s="17"/>
      <c r="L18" s="17"/>
      <c r="M18" s="16"/>
      <c r="N18" s="16"/>
      <c r="O18" s="16"/>
      <c r="P18" s="16"/>
      <c r="Q18" s="16"/>
      <c r="R18" s="17"/>
      <c r="S18" s="17"/>
      <c r="T18" s="16"/>
      <c r="U18" s="16"/>
      <c r="V18" s="16"/>
      <c r="W18" s="16"/>
      <c r="X18" s="16"/>
      <c r="Y18" s="17"/>
      <c r="Z18" s="17"/>
      <c r="AA18" s="16"/>
      <c r="AB18" s="16"/>
      <c r="AC18" s="16"/>
      <c r="AD18" s="16"/>
      <c r="AE18" s="16"/>
      <c r="AF18" s="17"/>
      <c r="AG18" s="17"/>
      <c r="AH18" s="16"/>
      <c r="AI18" s="16"/>
      <c r="AJ18" s="16"/>
      <c r="AK18" s="16"/>
      <c r="AL18" s="16"/>
      <c r="AM18" s="17"/>
      <c r="AN18" s="17"/>
      <c r="AO18" s="16">
        <f t="shared" si="1"/>
        <v>0</v>
      </c>
      <c r="AP18" s="105" t="s">
        <v>46</v>
      </c>
      <c r="AQ18" s="45">
        <v>90</v>
      </c>
      <c r="AR18" s="19">
        <f t="shared" si="0"/>
        <v>72</v>
      </c>
    </row>
    <row r="19" spans="1:44" ht="24.65" hidden="1" customHeight="1">
      <c r="A19" s="75"/>
      <c r="B19" s="78"/>
      <c r="C19" s="80"/>
      <c r="D19" s="83"/>
      <c r="E19" s="24" t="s">
        <v>23</v>
      </c>
      <c r="F19" s="25"/>
      <c r="G19" s="25"/>
      <c r="H19" s="16"/>
      <c r="I19" s="16"/>
      <c r="J19" s="16"/>
      <c r="K19" s="17"/>
      <c r="L19" s="17"/>
      <c r="M19" s="16"/>
      <c r="N19" s="16"/>
      <c r="O19" s="16"/>
      <c r="P19" s="16"/>
      <c r="Q19" s="16"/>
      <c r="R19" s="17"/>
      <c r="S19" s="17"/>
      <c r="T19" s="16"/>
      <c r="U19" s="16"/>
      <c r="V19" s="16"/>
      <c r="W19" s="16"/>
      <c r="X19" s="16"/>
      <c r="Y19" s="17"/>
      <c r="Z19" s="17"/>
      <c r="AA19" s="16"/>
      <c r="AB19" s="16"/>
      <c r="AC19" s="16"/>
      <c r="AD19" s="16"/>
      <c r="AE19" s="16"/>
      <c r="AF19" s="17"/>
      <c r="AG19" s="17"/>
      <c r="AH19" s="16"/>
      <c r="AI19" s="16"/>
      <c r="AJ19" s="16"/>
      <c r="AK19" s="16"/>
      <c r="AL19" s="16"/>
      <c r="AM19" s="17"/>
      <c r="AN19" s="17"/>
      <c r="AO19" s="16">
        <f t="shared" si="1"/>
        <v>0</v>
      </c>
      <c r="AP19" s="88"/>
      <c r="AQ19" s="45"/>
      <c r="AR19" s="19" t="str">
        <f t="shared" si="0"/>
        <v/>
      </c>
    </row>
    <row r="20" spans="1:44" hidden="1">
      <c r="A20" s="75"/>
      <c r="B20" s="46" t="s">
        <v>20</v>
      </c>
      <c r="C20" s="46" t="s">
        <v>28</v>
      </c>
      <c r="D20" s="16" t="s">
        <v>44</v>
      </c>
      <c r="E20" s="24" t="s">
        <v>30</v>
      </c>
      <c r="F20" s="25"/>
      <c r="G20" s="25"/>
      <c r="H20" s="16"/>
      <c r="I20" s="16"/>
      <c r="J20" s="16"/>
      <c r="K20" s="17"/>
      <c r="L20" s="17"/>
      <c r="M20" s="16"/>
      <c r="N20" s="16"/>
      <c r="O20" s="16"/>
      <c r="P20" s="16"/>
      <c r="Q20" s="16"/>
      <c r="R20" s="17"/>
      <c r="S20" s="17"/>
      <c r="T20" s="16"/>
      <c r="U20" s="16"/>
      <c r="V20" s="16"/>
      <c r="W20" s="16"/>
      <c r="X20" s="16"/>
      <c r="Y20" s="17"/>
      <c r="Z20" s="17"/>
      <c r="AA20" s="16"/>
      <c r="AB20" s="16"/>
      <c r="AC20" s="16"/>
      <c r="AD20" s="16"/>
      <c r="AE20" s="16"/>
      <c r="AF20" s="17"/>
      <c r="AG20" s="17"/>
      <c r="AH20" s="16"/>
      <c r="AI20" s="16"/>
      <c r="AJ20" s="16"/>
      <c r="AK20" s="16"/>
      <c r="AL20" s="16"/>
      <c r="AM20" s="17"/>
      <c r="AN20" s="17"/>
      <c r="AO20" s="16">
        <f t="shared" si="1"/>
        <v>0</v>
      </c>
      <c r="AP20" s="16"/>
      <c r="AQ20" s="45"/>
      <c r="AR20" s="19" t="str">
        <f t="shared" si="0"/>
        <v/>
      </c>
    </row>
    <row r="21" spans="1:44" ht="18.75" hidden="1" customHeight="1">
      <c r="A21" s="75" t="s">
        <v>47</v>
      </c>
      <c r="B21" s="77" t="s">
        <v>48</v>
      </c>
      <c r="C21" s="90" t="s">
        <v>39</v>
      </c>
      <c r="D21" s="84" t="s">
        <v>44</v>
      </c>
      <c r="E21" s="24" t="s">
        <v>45</v>
      </c>
      <c r="F21" s="25"/>
      <c r="G21" s="25"/>
      <c r="H21" s="16"/>
      <c r="I21" s="16"/>
      <c r="J21" s="16"/>
      <c r="K21" s="17"/>
      <c r="L21" s="17"/>
      <c r="M21" s="16"/>
      <c r="N21" s="16"/>
      <c r="O21" s="16"/>
      <c r="P21" s="16"/>
      <c r="Q21" s="16"/>
      <c r="R21" s="17"/>
      <c r="S21" s="17"/>
      <c r="T21" s="16"/>
      <c r="U21" s="16"/>
      <c r="V21" s="16"/>
      <c r="W21" s="16"/>
      <c r="X21" s="16"/>
      <c r="Y21" s="17"/>
      <c r="Z21" s="17"/>
      <c r="AA21" s="16"/>
      <c r="AB21" s="16"/>
      <c r="AC21" s="16"/>
      <c r="AD21" s="16"/>
      <c r="AE21" s="16"/>
      <c r="AF21" s="17"/>
      <c r="AG21" s="17"/>
      <c r="AH21" s="16"/>
      <c r="AI21" s="16"/>
      <c r="AJ21" s="16"/>
      <c r="AK21" s="16"/>
      <c r="AL21" s="16"/>
      <c r="AM21" s="17"/>
      <c r="AN21" s="17"/>
      <c r="AO21" s="16">
        <f t="shared" si="1"/>
        <v>0</v>
      </c>
      <c r="AP21" s="105" t="s">
        <v>49</v>
      </c>
      <c r="AQ21" s="45">
        <v>90</v>
      </c>
      <c r="AR21" s="19">
        <f t="shared" si="0"/>
        <v>72</v>
      </c>
    </row>
    <row r="22" spans="1:44" hidden="1">
      <c r="A22" s="75"/>
      <c r="B22" s="78"/>
      <c r="C22" s="80"/>
      <c r="D22" s="83"/>
      <c r="E22" s="24" t="s">
        <v>23</v>
      </c>
      <c r="F22" s="25"/>
      <c r="G22" s="25"/>
      <c r="H22" s="16"/>
      <c r="I22" s="16"/>
      <c r="J22" s="16"/>
      <c r="K22" s="17"/>
      <c r="L22" s="17"/>
      <c r="M22" s="16"/>
      <c r="N22" s="16"/>
      <c r="O22" s="16"/>
      <c r="P22" s="16"/>
      <c r="Q22" s="16"/>
      <c r="R22" s="17"/>
      <c r="S22" s="17"/>
      <c r="T22" s="16"/>
      <c r="U22" s="16"/>
      <c r="V22" s="16"/>
      <c r="W22" s="16"/>
      <c r="X22" s="16"/>
      <c r="Y22" s="17"/>
      <c r="Z22" s="17"/>
      <c r="AA22" s="16"/>
      <c r="AB22" s="16"/>
      <c r="AC22" s="16"/>
      <c r="AD22" s="16"/>
      <c r="AE22" s="16"/>
      <c r="AF22" s="17"/>
      <c r="AG22" s="17"/>
      <c r="AH22" s="16"/>
      <c r="AI22" s="16"/>
      <c r="AJ22" s="16"/>
      <c r="AK22" s="16"/>
      <c r="AL22" s="16"/>
      <c r="AM22" s="17"/>
      <c r="AN22" s="17"/>
      <c r="AO22" s="16">
        <f t="shared" si="1"/>
        <v>0</v>
      </c>
      <c r="AP22" s="88"/>
      <c r="AQ22" s="45"/>
      <c r="AR22" s="19" t="str">
        <f t="shared" si="0"/>
        <v/>
      </c>
    </row>
    <row r="23" spans="1:44" hidden="1">
      <c r="A23" s="75"/>
      <c r="B23" s="46" t="s">
        <v>50</v>
      </c>
      <c r="C23" s="46" t="s">
        <v>28</v>
      </c>
      <c r="D23" s="16" t="s">
        <v>44</v>
      </c>
      <c r="E23" s="24" t="s">
        <v>51</v>
      </c>
      <c r="F23" s="25"/>
      <c r="G23" s="25"/>
      <c r="H23" s="16"/>
      <c r="I23" s="16"/>
      <c r="J23" s="16"/>
      <c r="K23" s="17"/>
      <c r="L23" s="17"/>
      <c r="M23" s="16"/>
      <c r="N23" s="16"/>
      <c r="O23" s="16"/>
      <c r="P23" s="16"/>
      <c r="Q23" s="16"/>
      <c r="R23" s="17"/>
      <c r="S23" s="17"/>
      <c r="T23" s="16"/>
      <c r="U23" s="16"/>
      <c r="V23" s="16"/>
      <c r="W23" s="16"/>
      <c r="X23" s="16"/>
      <c r="Y23" s="17"/>
      <c r="Z23" s="17"/>
      <c r="AA23" s="16"/>
      <c r="AB23" s="16"/>
      <c r="AC23" s="16"/>
      <c r="AD23" s="16"/>
      <c r="AE23" s="16"/>
      <c r="AF23" s="17"/>
      <c r="AG23" s="17"/>
      <c r="AH23" s="16"/>
      <c r="AI23" s="16"/>
      <c r="AJ23" s="16"/>
      <c r="AK23" s="16"/>
      <c r="AL23" s="16"/>
      <c r="AM23" s="17"/>
      <c r="AN23" s="17"/>
      <c r="AO23" s="16">
        <f t="shared" si="1"/>
        <v>0</v>
      </c>
      <c r="AP23" s="16"/>
      <c r="AQ23" s="45"/>
      <c r="AR23" s="19" t="str">
        <f t="shared" si="0"/>
        <v/>
      </c>
    </row>
    <row r="24" spans="1:44" ht="18" hidden="1" customHeight="1">
      <c r="A24" s="84" t="s">
        <v>52</v>
      </c>
      <c r="B24" s="77" t="s">
        <v>20</v>
      </c>
      <c r="C24" s="90" t="s">
        <v>39</v>
      </c>
      <c r="D24" s="84" t="s">
        <v>53</v>
      </c>
      <c r="E24" s="24" t="s">
        <v>45</v>
      </c>
      <c r="F24" s="25"/>
      <c r="G24" s="25"/>
      <c r="H24" s="16"/>
      <c r="I24" s="16"/>
      <c r="J24" s="16"/>
      <c r="K24" s="17"/>
      <c r="L24" s="17"/>
      <c r="M24" s="16"/>
      <c r="N24" s="16"/>
      <c r="O24" s="16"/>
      <c r="P24" s="16"/>
      <c r="Q24" s="16"/>
      <c r="R24" s="17"/>
      <c r="S24" s="17"/>
      <c r="T24" s="16"/>
      <c r="U24" s="16"/>
      <c r="V24" s="16"/>
      <c r="W24" s="16"/>
      <c r="X24" s="16"/>
      <c r="Y24" s="17"/>
      <c r="Z24" s="17"/>
      <c r="AA24" s="16"/>
      <c r="AB24" s="16"/>
      <c r="AC24" s="16"/>
      <c r="AD24" s="16"/>
      <c r="AE24" s="16"/>
      <c r="AF24" s="17"/>
      <c r="AG24" s="17"/>
      <c r="AH24" s="16"/>
      <c r="AI24" s="16"/>
      <c r="AJ24" s="16"/>
      <c r="AK24" s="16"/>
      <c r="AL24" s="16"/>
      <c r="AM24" s="17"/>
      <c r="AN24" s="17"/>
      <c r="AO24" s="16">
        <f t="shared" si="1"/>
        <v>0</v>
      </c>
      <c r="AP24" s="106" t="s">
        <v>46</v>
      </c>
      <c r="AQ24" s="45">
        <v>90</v>
      </c>
      <c r="AR24" s="19">
        <f t="shared" si="0"/>
        <v>72</v>
      </c>
    </row>
    <row r="25" spans="1:44" hidden="1">
      <c r="A25" s="82"/>
      <c r="B25" s="78"/>
      <c r="C25" s="80"/>
      <c r="D25" s="83"/>
      <c r="E25" s="24" t="s">
        <v>23</v>
      </c>
      <c r="F25" s="25"/>
      <c r="G25" s="25"/>
      <c r="H25" s="16"/>
      <c r="I25" s="16"/>
      <c r="J25" s="16"/>
      <c r="K25" s="17"/>
      <c r="L25" s="17"/>
      <c r="M25" s="16"/>
      <c r="N25" s="16"/>
      <c r="O25" s="16"/>
      <c r="P25" s="16"/>
      <c r="Q25" s="16"/>
      <c r="R25" s="17"/>
      <c r="S25" s="17"/>
      <c r="T25" s="16"/>
      <c r="U25" s="16"/>
      <c r="V25" s="16"/>
      <c r="W25" s="16"/>
      <c r="X25" s="16"/>
      <c r="Y25" s="17"/>
      <c r="Z25" s="17"/>
      <c r="AA25" s="16"/>
      <c r="AB25" s="16"/>
      <c r="AC25" s="16"/>
      <c r="AD25" s="16"/>
      <c r="AE25" s="16"/>
      <c r="AF25" s="17"/>
      <c r="AG25" s="17"/>
      <c r="AH25" s="16"/>
      <c r="AI25" s="16"/>
      <c r="AJ25" s="16"/>
      <c r="AK25" s="16"/>
      <c r="AL25" s="16"/>
      <c r="AM25" s="17"/>
      <c r="AN25" s="17"/>
      <c r="AO25" s="16">
        <f t="shared" si="1"/>
        <v>0</v>
      </c>
      <c r="AP25" s="89"/>
      <c r="AQ25" s="45"/>
      <c r="AR25" s="19" t="str">
        <f t="shared" si="0"/>
        <v/>
      </c>
    </row>
    <row r="26" spans="1:44" hidden="1">
      <c r="A26" s="83"/>
      <c r="B26" s="46" t="s">
        <v>50</v>
      </c>
      <c r="C26" s="46" t="s">
        <v>28</v>
      </c>
      <c r="D26" s="47" t="s">
        <v>53</v>
      </c>
      <c r="E26" s="24" t="s">
        <v>30</v>
      </c>
      <c r="F26" s="25"/>
      <c r="G26" s="25"/>
      <c r="H26" s="16"/>
      <c r="I26" s="16"/>
      <c r="J26" s="16"/>
      <c r="K26" s="17"/>
      <c r="L26" s="17"/>
      <c r="M26" s="16"/>
      <c r="N26" s="16"/>
      <c r="O26" s="16"/>
      <c r="P26" s="16"/>
      <c r="Q26" s="16"/>
      <c r="R26" s="17"/>
      <c r="S26" s="17"/>
      <c r="T26" s="16"/>
      <c r="U26" s="16"/>
      <c r="V26" s="16"/>
      <c r="W26" s="16"/>
      <c r="X26" s="16"/>
      <c r="Y26" s="17"/>
      <c r="Z26" s="17"/>
      <c r="AA26" s="16"/>
      <c r="AB26" s="16"/>
      <c r="AC26" s="16"/>
      <c r="AD26" s="16"/>
      <c r="AE26" s="16"/>
      <c r="AF26" s="17"/>
      <c r="AG26" s="17"/>
      <c r="AH26" s="16"/>
      <c r="AI26" s="16"/>
      <c r="AJ26" s="16"/>
      <c r="AK26" s="16"/>
      <c r="AL26" s="16"/>
      <c r="AM26" s="17"/>
      <c r="AN26" s="17"/>
      <c r="AO26" s="16">
        <f t="shared" si="1"/>
        <v>0</v>
      </c>
      <c r="AP26" s="16"/>
      <c r="AQ26" s="45"/>
      <c r="AR26" s="19" t="str">
        <f t="shared" si="0"/>
        <v/>
      </c>
    </row>
    <row r="27" spans="1:44" ht="18" hidden="1" customHeight="1">
      <c r="A27" s="84" t="s">
        <v>54</v>
      </c>
      <c r="B27" s="77" t="s">
        <v>55</v>
      </c>
      <c r="C27" s="90" t="s">
        <v>39</v>
      </c>
      <c r="D27" s="84" t="s">
        <v>56</v>
      </c>
      <c r="E27" s="24" t="s">
        <v>45</v>
      </c>
      <c r="F27" s="25"/>
      <c r="G27" s="25"/>
      <c r="H27" s="16"/>
      <c r="I27" s="16"/>
      <c r="J27" s="16"/>
      <c r="K27" s="17"/>
      <c r="L27" s="17"/>
      <c r="M27" s="16"/>
      <c r="N27" s="16"/>
      <c r="O27" s="16"/>
      <c r="P27" s="16"/>
      <c r="Q27" s="16"/>
      <c r="R27" s="17"/>
      <c r="S27" s="17"/>
      <c r="T27" s="16"/>
      <c r="U27" s="16"/>
      <c r="V27" s="16"/>
      <c r="W27" s="16"/>
      <c r="X27" s="16"/>
      <c r="Y27" s="17"/>
      <c r="Z27" s="17"/>
      <c r="AA27" s="16"/>
      <c r="AB27" s="16"/>
      <c r="AC27" s="16"/>
      <c r="AD27" s="16"/>
      <c r="AE27" s="16"/>
      <c r="AF27" s="17"/>
      <c r="AG27" s="17"/>
      <c r="AH27" s="16"/>
      <c r="AI27" s="16"/>
      <c r="AJ27" s="16"/>
      <c r="AK27" s="16"/>
      <c r="AL27" s="16"/>
      <c r="AM27" s="17"/>
      <c r="AN27" s="17"/>
      <c r="AO27" s="16">
        <f t="shared" si="1"/>
        <v>0</v>
      </c>
      <c r="AP27" s="106" t="s">
        <v>46</v>
      </c>
      <c r="AQ27" s="45">
        <v>90</v>
      </c>
      <c r="AR27" s="19">
        <f t="shared" si="0"/>
        <v>72</v>
      </c>
    </row>
    <row r="28" spans="1:44" hidden="1">
      <c r="A28" s="82"/>
      <c r="B28" s="78"/>
      <c r="C28" s="80"/>
      <c r="D28" s="83"/>
      <c r="E28" s="24" t="s">
        <v>23</v>
      </c>
      <c r="F28" s="25"/>
      <c r="G28" s="25"/>
      <c r="H28" s="16"/>
      <c r="I28" s="16"/>
      <c r="J28" s="16"/>
      <c r="K28" s="17"/>
      <c r="L28" s="17"/>
      <c r="M28" s="16"/>
      <c r="N28" s="16"/>
      <c r="O28" s="16"/>
      <c r="P28" s="16"/>
      <c r="Q28" s="16"/>
      <c r="R28" s="17"/>
      <c r="S28" s="17"/>
      <c r="T28" s="16"/>
      <c r="U28" s="16"/>
      <c r="V28" s="16"/>
      <c r="W28" s="16"/>
      <c r="X28" s="16"/>
      <c r="Y28" s="17"/>
      <c r="Z28" s="17"/>
      <c r="AA28" s="16"/>
      <c r="AB28" s="16"/>
      <c r="AC28" s="16"/>
      <c r="AD28" s="16"/>
      <c r="AE28" s="16"/>
      <c r="AF28" s="17"/>
      <c r="AG28" s="17"/>
      <c r="AH28" s="16"/>
      <c r="AI28" s="16"/>
      <c r="AJ28" s="16"/>
      <c r="AK28" s="16"/>
      <c r="AL28" s="16"/>
      <c r="AM28" s="17"/>
      <c r="AN28" s="17"/>
      <c r="AO28" s="16">
        <f t="shared" si="1"/>
        <v>0</v>
      </c>
      <c r="AP28" s="89"/>
      <c r="AQ28" s="45"/>
      <c r="AR28" s="19" t="str">
        <f t="shared" si="0"/>
        <v/>
      </c>
    </row>
    <row r="29" spans="1:44" hidden="1">
      <c r="A29" s="83"/>
      <c r="B29" s="46" t="s">
        <v>55</v>
      </c>
      <c r="C29" s="46" t="s">
        <v>28</v>
      </c>
      <c r="D29" s="47" t="s">
        <v>56</v>
      </c>
      <c r="E29" s="24" t="s">
        <v>51</v>
      </c>
      <c r="F29" s="25"/>
      <c r="G29" s="25"/>
      <c r="H29" s="16"/>
      <c r="I29" s="16"/>
      <c r="J29" s="16"/>
      <c r="K29" s="17"/>
      <c r="L29" s="17"/>
      <c r="M29" s="16"/>
      <c r="N29" s="16"/>
      <c r="O29" s="16"/>
      <c r="P29" s="16"/>
      <c r="Q29" s="16"/>
      <c r="R29" s="17"/>
      <c r="S29" s="17"/>
      <c r="T29" s="16"/>
      <c r="U29" s="16"/>
      <c r="V29" s="16"/>
      <c r="W29" s="16"/>
      <c r="X29" s="16"/>
      <c r="Y29" s="17"/>
      <c r="Z29" s="17"/>
      <c r="AA29" s="16"/>
      <c r="AB29" s="16"/>
      <c r="AC29" s="16"/>
      <c r="AD29" s="16"/>
      <c r="AE29" s="16"/>
      <c r="AF29" s="17"/>
      <c r="AG29" s="17"/>
      <c r="AH29" s="16"/>
      <c r="AI29" s="16"/>
      <c r="AJ29" s="16"/>
      <c r="AK29" s="16"/>
      <c r="AL29" s="16"/>
      <c r="AM29" s="17"/>
      <c r="AN29" s="17"/>
      <c r="AO29" s="16">
        <f t="shared" si="1"/>
        <v>0</v>
      </c>
      <c r="AP29" s="16"/>
      <c r="AQ29" s="45"/>
      <c r="AR29" s="19" t="str">
        <f t="shared" si="0"/>
        <v/>
      </c>
    </row>
    <row r="30" spans="1:44" ht="18" hidden="1" customHeight="1">
      <c r="A30" s="84" t="s">
        <v>57</v>
      </c>
      <c r="B30" s="46" t="s">
        <v>58</v>
      </c>
      <c r="C30" s="46" t="s">
        <v>59</v>
      </c>
      <c r="D30" s="16" t="s">
        <v>29</v>
      </c>
      <c r="E30" s="24" t="s">
        <v>23</v>
      </c>
      <c r="F30" s="25"/>
      <c r="G30" s="25"/>
      <c r="H30" s="16"/>
      <c r="I30" s="16"/>
      <c r="J30" s="16"/>
      <c r="K30" s="17"/>
      <c r="L30" s="17"/>
      <c r="M30" s="16"/>
      <c r="N30" s="16"/>
      <c r="O30" s="16"/>
      <c r="P30" s="16"/>
      <c r="Q30" s="16"/>
      <c r="R30" s="17"/>
      <c r="S30" s="17"/>
      <c r="T30" s="16"/>
      <c r="U30" s="16"/>
      <c r="V30" s="16"/>
      <c r="W30" s="16"/>
      <c r="X30" s="16"/>
      <c r="Y30" s="17"/>
      <c r="Z30" s="17"/>
      <c r="AA30" s="16"/>
      <c r="AB30" s="16"/>
      <c r="AC30" s="16"/>
      <c r="AD30" s="16"/>
      <c r="AE30" s="16"/>
      <c r="AF30" s="17"/>
      <c r="AG30" s="17"/>
      <c r="AH30" s="16"/>
      <c r="AI30" s="16"/>
      <c r="AJ30" s="16"/>
      <c r="AK30" s="16"/>
      <c r="AL30" s="16"/>
      <c r="AM30" s="17"/>
      <c r="AN30" s="17"/>
      <c r="AO30" s="16">
        <f t="shared" si="1"/>
        <v>0</v>
      </c>
      <c r="AP30" s="54" t="s">
        <v>60</v>
      </c>
      <c r="AQ30" s="39">
        <v>120</v>
      </c>
      <c r="AR30" s="19">
        <f t="shared" si="0"/>
        <v>96</v>
      </c>
    </row>
    <row r="31" spans="1:44" ht="18" hidden="1" customHeight="1">
      <c r="A31" s="82"/>
      <c r="B31" s="46" t="s">
        <v>42</v>
      </c>
      <c r="C31" s="46" t="s">
        <v>61</v>
      </c>
      <c r="D31" s="16" t="s">
        <v>29</v>
      </c>
      <c r="E31" s="24" t="s">
        <v>23</v>
      </c>
      <c r="F31" s="25"/>
      <c r="G31" s="25"/>
      <c r="H31" s="16"/>
      <c r="I31" s="16"/>
      <c r="J31" s="16"/>
      <c r="K31" s="17"/>
      <c r="L31" s="17"/>
      <c r="M31" s="16"/>
      <c r="N31" s="16"/>
      <c r="O31" s="16"/>
      <c r="P31" s="16"/>
      <c r="Q31" s="16"/>
      <c r="R31" s="17"/>
      <c r="S31" s="17"/>
      <c r="T31" s="16"/>
      <c r="U31" s="16"/>
      <c r="V31" s="16"/>
      <c r="W31" s="16"/>
      <c r="X31" s="16"/>
      <c r="Y31" s="17"/>
      <c r="Z31" s="17"/>
      <c r="AA31" s="16"/>
      <c r="AB31" s="16"/>
      <c r="AC31" s="16"/>
      <c r="AD31" s="16"/>
      <c r="AE31" s="16"/>
      <c r="AF31" s="17"/>
      <c r="AG31" s="17"/>
      <c r="AH31" s="16"/>
      <c r="AI31" s="16"/>
      <c r="AJ31" s="16"/>
      <c r="AK31" s="16"/>
      <c r="AL31" s="16"/>
      <c r="AM31" s="17"/>
      <c r="AN31" s="17"/>
      <c r="AO31" s="16">
        <f t="shared" si="1"/>
        <v>0</v>
      </c>
      <c r="AP31" s="54" t="s">
        <v>62</v>
      </c>
      <c r="AQ31" s="39">
        <v>75</v>
      </c>
      <c r="AR31" s="19">
        <f t="shared" si="0"/>
        <v>60</v>
      </c>
    </row>
    <row r="32" spans="1:44" ht="18" hidden="1" customHeight="1">
      <c r="A32" s="82"/>
      <c r="B32" s="46" t="s">
        <v>63</v>
      </c>
      <c r="C32" s="46" t="s">
        <v>64</v>
      </c>
      <c r="D32" s="16" t="s">
        <v>65</v>
      </c>
      <c r="E32" s="24" t="s">
        <v>23</v>
      </c>
      <c r="F32" s="25"/>
      <c r="G32" s="25"/>
      <c r="H32" s="16"/>
      <c r="I32" s="16"/>
      <c r="J32" s="16"/>
      <c r="K32" s="17"/>
      <c r="L32" s="17"/>
      <c r="M32" s="16"/>
      <c r="N32" s="16"/>
      <c r="O32" s="16"/>
      <c r="P32" s="16"/>
      <c r="Q32" s="16"/>
      <c r="R32" s="17"/>
      <c r="S32" s="17"/>
      <c r="T32" s="16"/>
      <c r="U32" s="16"/>
      <c r="V32" s="16"/>
      <c r="W32" s="16"/>
      <c r="X32" s="16"/>
      <c r="Y32" s="17"/>
      <c r="Z32" s="17"/>
      <c r="AA32" s="16"/>
      <c r="AB32" s="16"/>
      <c r="AC32" s="16"/>
      <c r="AD32" s="16"/>
      <c r="AE32" s="16"/>
      <c r="AF32" s="17"/>
      <c r="AG32" s="17"/>
      <c r="AH32" s="16"/>
      <c r="AI32" s="16"/>
      <c r="AJ32" s="16"/>
      <c r="AK32" s="16"/>
      <c r="AL32" s="16"/>
      <c r="AM32" s="17"/>
      <c r="AN32" s="17"/>
      <c r="AO32" s="16">
        <f t="shared" si="1"/>
        <v>0</v>
      </c>
      <c r="AP32" s="54" t="s">
        <v>66</v>
      </c>
      <c r="AQ32" s="39">
        <v>30</v>
      </c>
      <c r="AR32" s="19">
        <f t="shared" si="0"/>
        <v>24</v>
      </c>
    </row>
    <row r="33" spans="1:44" ht="32.25" hidden="1" customHeight="1">
      <c r="A33" s="82"/>
      <c r="B33" s="26" t="s">
        <v>48</v>
      </c>
      <c r="C33" s="49" t="s">
        <v>67</v>
      </c>
      <c r="D33" s="16" t="s">
        <v>68</v>
      </c>
      <c r="E33" s="24" t="s">
        <v>23</v>
      </c>
      <c r="F33" s="25"/>
      <c r="G33" s="25"/>
      <c r="H33" s="16"/>
      <c r="I33" s="16"/>
      <c r="J33" s="16"/>
      <c r="K33" s="17"/>
      <c r="L33" s="17"/>
      <c r="M33" s="16"/>
      <c r="N33" s="16"/>
      <c r="O33" s="16"/>
      <c r="P33" s="16"/>
      <c r="Q33" s="16"/>
      <c r="R33" s="17"/>
      <c r="S33" s="17"/>
      <c r="T33" s="16"/>
      <c r="U33" s="16"/>
      <c r="V33" s="16"/>
      <c r="W33" s="16"/>
      <c r="X33" s="16"/>
      <c r="Y33" s="17"/>
      <c r="Z33" s="17"/>
      <c r="AA33" s="16"/>
      <c r="AB33" s="16"/>
      <c r="AC33" s="16"/>
      <c r="AD33" s="16"/>
      <c r="AE33" s="16"/>
      <c r="AF33" s="17"/>
      <c r="AG33" s="17"/>
      <c r="AH33" s="16"/>
      <c r="AI33" s="16"/>
      <c r="AJ33" s="16"/>
      <c r="AK33" s="16"/>
      <c r="AL33" s="16"/>
      <c r="AM33" s="17"/>
      <c r="AN33" s="17"/>
      <c r="AO33" s="16">
        <f t="shared" si="1"/>
        <v>0</v>
      </c>
      <c r="AP33" s="54" t="s">
        <v>69</v>
      </c>
      <c r="AQ33" s="39">
        <v>60</v>
      </c>
      <c r="AR33" s="19">
        <f t="shared" si="0"/>
        <v>48</v>
      </c>
    </row>
    <row r="34" spans="1:44" hidden="1">
      <c r="A34" s="83"/>
      <c r="B34" s="26" t="s">
        <v>24</v>
      </c>
      <c r="C34" s="26" t="s">
        <v>28</v>
      </c>
      <c r="D34" s="16" t="s">
        <v>29</v>
      </c>
      <c r="E34" s="28" t="s">
        <v>30</v>
      </c>
      <c r="F34" s="50"/>
      <c r="G34" s="50"/>
      <c r="H34" s="16"/>
      <c r="I34" s="16"/>
      <c r="J34" s="16"/>
      <c r="K34" s="17"/>
      <c r="L34" s="17"/>
      <c r="M34" s="16"/>
      <c r="N34" s="16"/>
      <c r="O34" s="16"/>
      <c r="P34" s="16"/>
      <c r="Q34" s="16"/>
      <c r="R34" s="17"/>
      <c r="S34" s="17"/>
      <c r="T34" s="16"/>
      <c r="U34" s="16"/>
      <c r="V34" s="16"/>
      <c r="W34" s="16"/>
      <c r="X34" s="16"/>
      <c r="Y34" s="17"/>
      <c r="Z34" s="17"/>
      <c r="AA34" s="16"/>
      <c r="AB34" s="16"/>
      <c r="AC34" s="16"/>
      <c r="AD34" s="16"/>
      <c r="AE34" s="16"/>
      <c r="AF34" s="17"/>
      <c r="AG34" s="17"/>
      <c r="AH34" s="16"/>
      <c r="AI34" s="16"/>
      <c r="AJ34" s="16"/>
      <c r="AK34" s="16"/>
      <c r="AL34" s="16"/>
      <c r="AM34" s="17"/>
      <c r="AN34" s="17"/>
      <c r="AO34" s="16">
        <f t="shared" si="1"/>
        <v>0</v>
      </c>
      <c r="AP34" s="16"/>
      <c r="AR34" s="19" t="str">
        <f t="shared" si="0"/>
        <v/>
      </c>
    </row>
    <row r="35" spans="1:44" ht="18.75" hidden="1" customHeight="1">
      <c r="A35" s="84" t="s">
        <v>70</v>
      </c>
      <c r="B35" s="26" t="s">
        <v>58</v>
      </c>
      <c r="C35" s="26" t="s">
        <v>59</v>
      </c>
      <c r="D35" s="16" t="s">
        <v>71</v>
      </c>
      <c r="E35" s="24" t="s">
        <v>45</v>
      </c>
      <c r="F35" s="25"/>
      <c r="G35" s="25"/>
      <c r="H35" s="16"/>
      <c r="I35" s="16"/>
      <c r="J35" s="16"/>
      <c r="K35" s="17"/>
      <c r="L35" s="17"/>
      <c r="M35" s="16"/>
      <c r="N35" s="16"/>
      <c r="O35" s="16"/>
      <c r="P35" s="16"/>
      <c r="Q35" s="16"/>
      <c r="R35" s="17"/>
      <c r="S35" s="17"/>
      <c r="T35" s="16"/>
      <c r="U35" s="16"/>
      <c r="V35" s="16"/>
      <c r="W35" s="16"/>
      <c r="X35" s="16"/>
      <c r="Y35" s="17"/>
      <c r="Z35" s="17"/>
      <c r="AA35" s="16"/>
      <c r="AB35" s="16"/>
      <c r="AC35" s="16"/>
      <c r="AD35" s="16"/>
      <c r="AE35" s="16"/>
      <c r="AF35" s="17"/>
      <c r="AG35" s="17"/>
      <c r="AH35" s="16"/>
      <c r="AI35" s="16"/>
      <c r="AJ35" s="16"/>
      <c r="AK35" s="16"/>
      <c r="AL35" s="16"/>
      <c r="AM35" s="17"/>
      <c r="AN35" s="17"/>
      <c r="AO35" s="16">
        <f t="shared" si="1"/>
        <v>0</v>
      </c>
      <c r="AP35" s="51" t="s">
        <v>72</v>
      </c>
      <c r="AQ35" s="39">
        <v>90</v>
      </c>
      <c r="AR35" s="19">
        <f t="shared" si="0"/>
        <v>72</v>
      </c>
    </row>
    <row r="36" spans="1:44" ht="31.5" hidden="1">
      <c r="A36" s="82"/>
      <c r="B36" s="26" t="s">
        <v>32</v>
      </c>
      <c r="C36" s="49" t="s">
        <v>73</v>
      </c>
      <c r="D36" s="16" t="s">
        <v>71</v>
      </c>
      <c r="E36" s="24" t="s">
        <v>45</v>
      </c>
      <c r="F36" s="25"/>
      <c r="G36" s="25"/>
      <c r="H36" s="16"/>
      <c r="I36" s="16"/>
      <c r="J36" s="16"/>
      <c r="K36" s="17"/>
      <c r="L36" s="17"/>
      <c r="M36" s="16"/>
      <c r="N36" s="16"/>
      <c r="O36" s="16"/>
      <c r="P36" s="16"/>
      <c r="Q36" s="16"/>
      <c r="R36" s="17"/>
      <c r="S36" s="17"/>
      <c r="T36" s="16"/>
      <c r="U36" s="16"/>
      <c r="V36" s="16"/>
      <c r="W36" s="16"/>
      <c r="X36" s="16"/>
      <c r="Y36" s="17"/>
      <c r="Z36" s="17"/>
      <c r="AA36" s="16"/>
      <c r="AB36" s="16"/>
      <c r="AC36" s="16"/>
      <c r="AD36" s="16"/>
      <c r="AE36" s="16"/>
      <c r="AF36" s="17"/>
      <c r="AG36" s="17"/>
      <c r="AH36" s="16"/>
      <c r="AI36" s="16"/>
      <c r="AJ36" s="16"/>
      <c r="AK36" s="16"/>
      <c r="AL36" s="16"/>
      <c r="AM36" s="17"/>
      <c r="AN36" s="17"/>
      <c r="AO36" s="16">
        <f t="shared" si="1"/>
        <v>0</v>
      </c>
      <c r="AP36" s="51" t="s">
        <v>66</v>
      </c>
      <c r="AQ36" s="39">
        <v>30</v>
      </c>
      <c r="AR36" s="19">
        <f t="shared" si="0"/>
        <v>24</v>
      </c>
    </row>
    <row r="37" spans="1:44" hidden="1">
      <c r="A37" s="82"/>
      <c r="B37" s="26" t="s">
        <v>63</v>
      </c>
      <c r="C37" s="49" t="s">
        <v>64</v>
      </c>
      <c r="D37" s="16" t="s">
        <v>71</v>
      </c>
      <c r="E37" s="24" t="s">
        <v>74</v>
      </c>
      <c r="F37" s="25"/>
      <c r="G37" s="25"/>
      <c r="H37" s="16"/>
      <c r="I37" s="16"/>
      <c r="J37" s="16"/>
      <c r="K37" s="17"/>
      <c r="L37" s="17"/>
      <c r="M37" s="16"/>
      <c r="N37" s="16"/>
      <c r="O37" s="16"/>
      <c r="P37" s="16"/>
      <c r="Q37" s="16"/>
      <c r="R37" s="17"/>
      <c r="S37" s="17"/>
      <c r="T37" s="16"/>
      <c r="U37" s="16"/>
      <c r="V37" s="16"/>
      <c r="W37" s="16"/>
      <c r="X37" s="16"/>
      <c r="Y37" s="17"/>
      <c r="Z37" s="17"/>
      <c r="AA37" s="16"/>
      <c r="AB37" s="16"/>
      <c r="AC37" s="16"/>
      <c r="AD37" s="16"/>
      <c r="AE37" s="16"/>
      <c r="AF37" s="17"/>
      <c r="AG37" s="17"/>
      <c r="AH37" s="16"/>
      <c r="AI37" s="16"/>
      <c r="AJ37" s="16"/>
      <c r="AK37" s="16"/>
      <c r="AL37" s="16"/>
      <c r="AM37" s="17"/>
      <c r="AN37" s="17"/>
      <c r="AO37" s="16">
        <f t="shared" si="1"/>
        <v>0</v>
      </c>
      <c r="AP37" s="51" t="s">
        <v>66</v>
      </c>
      <c r="AQ37" s="39">
        <v>30</v>
      </c>
      <c r="AR37" s="19">
        <f t="shared" si="0"/>
        <v>24</v>
      </c>
    </row>
    <row r="38" spans="1:44" ht="31.5" hidden="1">
      <c r="A38" s="82"/>
      <c r="B38" s="26" t="s">
        <v>50</v>
      </c>
      <c r="C38" s="49" t="s">
        <v>75</v>
      </c>
      <c r="D38" s="16" t="s">
        <v>71</v>
      </c>
      <c r="E38" s="24" t="s">
        <v>45</v>
      </c>
      <c r="F38" s="25"/>
      <c r="G38" s="25"/>
      <c r="H38" s="16"/>
      <c r="I38" s="16"/>
      <c r="J38" s="16"/>
      <c r="K38" s="17"/>
      <c r="L38" s="17"/>
      <c r="M38" s="16"/>
      <c r="N38" s="16"/>
      <c r="O38" s="16"/>
      <c r="P38" s="16"/>
      <c r="Q38" s="16"/>
      <c r="R38" s="17"/>
      <c r="S38" s="17"/>
      <c r="T38" s="16"/>
      <c r="U38" s="16"/>
      <c r="V38" s="16"/>
      <c r="W38" s="16"/>
      <c r="X38" s="16"/>
      <c r="Y38" s="17"/>
      <c r="Z38" s="17"/>
      <c r="AA38" s="16"/>
      <c r="AB38" s="16"/>
      <c r="AC38" s="16"/>
      <c r="AD38" s="16"/>
      <c r="AE38" s="16"/>
      <c r="AF38" s="17"/>
      <c r="AG38" s="17"/>
      <c r="AH38" s="16"/>
      <c r="AI38" s="16"/>
      <c r="AJ38" s="16"/>
      <c r="AK38" s="16"/>
      <c r="AL38" s="16"/>
      <c r="AM38" s="17"/>
      <c r="AN38" s="17"/>
      <c r="AO38" s="16">
        <f t="shared" si="1"/>
        <v>0</v>
      </c>
      <c r="AP38" s="51" t="s">
        <v>19</v>
      </c>
      <c r="AQ38" s="39">
        <v>45</v>
      </c>
      <c r="AR38" s="19">
        <f t="shared" si="0"/>
        <v>36</v>
      </c>
    </row>
    <row r="39" spans="1:44" hidden="1">
      <c r="A39" s="83"/>
      <c r="B39" s="46" t="s">
        <v>42</v>
      </c>
      <c r="C39" s="46" t="s">
        <v>28</v>
      </c>
      <c r="D39" s="16" t="s">
        <v>71</v>
      </c>
      <c r="E39" s="24" t="s">
        <v>76</v>
      </c>
      <c r="F39" s="25"/>
      <c r="G39" s="25"/>
      <c r="H39" s="16"/>
      <c r="I39" s="16"/>
      <c r="J39" s="16"/>
      <c r="K39" s="17"/>
      <c r="L39" s="17"/>
      <c r="M39" s="16"/>
      <c r="N39" s="16"/>
      <c r="O39" s="16"/>
      <c r="P39" s="16"/>
      <c r="Q39" s="16"/>
      <c r="R39" s="17"/>
      <c r="S39" s="17"/>
      <c r="T39" s="16"/>
      <c r="U39" s="16"/>
      <c r="V39" s="16"/>
      <c r="W39" s="16"/>
      <c r="X39" s="16"/>
      <c r="Y39" s="17"/>
      <c r="Z39" s="17"/>
      <c r="AA39" s="16"/>
      <c r="AB39" s="16"/>
      <c r="AC39" s="16"/>
      <c r="AD39" s="16"/>
      <c r="AE39" s="16"/>
      <c r="AF39" s="17"/>
      <c r="AG39" s="17"/>
      <c r="AH39" s="16"/>
      <c r="AI39" s="16"/>
      <c r="AJ39" s="16"/>
      <c r="AK39" s="16"/>
      <c r="AL39" s="16"/>
      <c r="AM39" s="17"/>
      <c r="AN39" s="17"/>
      <c r="AO39" s="16">
        <f t="shared" si="1"/>
        <v>0</v>
      </c>
      <c r="AP39" s="16"/>
      <c r="AR39" s="19" t="str">
        <f t="shared" si="0"/>
        <v/>
      </c>
    </row>
    <row r="40" spans="1:44" hidden="1">
      <c r="A40" s="75" t="s">
        <v>77</v>
      </c>
      <c r="B40" s="26" t="s">
        <v>58</v>
      </c>
      <c r="C40" s="26" t="s">
        <v>59</v>
      </c>
      <c r="D40" s="16" t="s">
        <v>78</v>
      </c>
      <c r="E40" s="28" t="s">
        <v>45</v>
      </c>
      <c r="F40" s="25"/>
      <c r="G40" s="25"/>
      <c r="H40" s="16"/>
      <c r="I40" s="16"/>
      <c r="J40" s="16"/>
      <c r="K40" s="17"/>
      <c r="L40" s="17"/>
      <c r="M40" s="16"/>
      <c r="N40" s="16"/>
      <c r="O40" s="16"/>
      <c r="P40" s="16"/>
      <c r="Q40" s="16"/>
      <c r="R40" s="17"/>
      <c r="S40" s="17"/>
      <c r="T40" s="16"/>
      <c r="U40" s="16"/>
      <c r="V40" s="16"/>
      <c r="W40" s="16"/>
      <c r="X40" s="16"/>
      <c r="Y40" s="17"/>
      <c r="Z40" s="17"/>
      <c r="AA40" s="16"/>
      <c r="AB40" s="16"/>
      <c r="AC40" s="16"/>
      <c r="AD40" s="16"/>
      <c r="AE40" s="16"/>
      <c r="AF40" s="17"/>
      <c r="AG40" s="17"/>
      <c r="AH40" s="16"/>
      <c r="AI40" s="16"/>
      <c r="AJ40" s="16"/>
      <c r="AK40" s="16"/>
      <c r="AL40" s="16"/>
      <c r="AM40" s="17"/>
      <c r="AN40" s="17"/>
      <c r="AO40" s="16">
        <f t="shared" si="1"/>
        <v>0</v>
      </c>
      <c r="AP40" s="51" t="s">
        <v>72</v>
      </c>
      <c r="AQ40" s="39">
        <v>90</v>
      </c>
      <c r="AR40" s="19">
        <f t="shared" si="0"/>
        <v>72</v>
      </c>
    </row>
    <row r="41" spans="1:44" ht="31.5" hidden="1">
      <c r="A41" s="75"/>
      <c r="B41" s="26" t="s">
        <v>32</v>
      </c>
      <c r="C41" s="49" t="s">
        <v>73</v>
      </c>
      <c r="D41" s="16" t="s">
        <v>78</v>
      </c>
      <c r="E41" s="24" t="s">
        <v>74</v>
      </c>
      <c r="F41" s="25"/>
      <c r="G41" s="25"/>
      <c r="H41" s="16"/>
      <c r="I41" s="16"/>
      <c r="J41" s="16"/>
      <c r="K41" s="17"/>
      <c r="L41" s="17"/>
      <c r="M41" s="16"/>
      <c r="N41" s="16"/>
      <c r="O41" s="16"/>
      <c r="P41" s="16"/>
      <c r="Q41" s="16"/>
      <c r="R41" s="17"/>
      <c r="S41" s="17"/>
      <c r="T41" s="16"/>
      <c r="U41" s="16"/>
      <c r="V41" s="16"/>
      <c r="W41" s="16"/>
      <c r="X41" s="16"/>
      <c r="Y41" s="17"/>
      <c r="Z41" s="17"/>
      <c r="AA41" s="16"/>
      <c r="AB41" s="16"/>
      <c r="AC41" s="16"/>
      <c r="AD41" s="16"/>
      <c r="AE41" s="16"/>
      <c r="AF41" s="17"/>
      <c r="AG41" s="17"/>
      <c r="AH41" s="16"/>
      <c r="AI41" s="16"/>
      <c r="AJ41" s="16"/>
      <c r="AK41" s="16"/>
      <c r="AL41" s="16"/>
      <c r="AM41" s="17"/>
      <c r="AN41" s="17"/>
      <c r="AO41" s="16">
        <f t="shared" si="1"/>
        <v>0</v>
      </c>
      <c r="AP41" s="51" t="s">
        <v>66</v>
      </c>
      <c r="AQ41" s="45">
        <v>30</v>
      </c>
      <c r="AR41" s="19">
        <f t="shared" si="0"/>
        <v>24</v>
      </c>
    </row>
    <row r="42" spans="1:44" hidden="1">
      <c r="A42" s="75"/>
      <c r="B42" s="26" t="s">
        <v>63</v>
      </c>
      <c r="C42" s="49" t="s">
        <v>64</v>
      </c>
      <c r="D42" s="16" t="s">
        <v>78</v>
      </c>
      <c r="E42" s="24" t="s">
        <v>45</v>
      </c>
      <c r="F42" s="25"/>
      <c r="G42" s="25"/>
      <c r="H42" s="16"/>
      <c r="I42" s="16"/>
      <c r="J42" s="16"/>
      <c r="K42" s="17"/>
      <c r="L42" s="17"/>
      <c r="M42" s="16"/>
      <c r="N42" s="16"/>
      <c r="O42" s="16"/>
      <c r="P42" s="16"/>
      <c r="Q42" s="16"/>
      <c r="R42" s="17"/>
      <c r="S42" s="17"/>
      <c r="T42" s="16"/>
      <c r="U42" s="16"/>
      <c r="V42" s="16"/>
      <c r="W42" s="16"/>
      <c r="X42" s="16"/>
      <c r="Y42" s="17"/>
      <c r="Z42" s="17"/>
      <c r="AA42" s="16"/>
      <c r="AB42" s="16"/>
      <c r="AC42" s="16"/>
      <c r="AD42" s="16"/>
      <c r="AE42" s="16"/>
      <c r="AF42" s="17"/>
      <c r="AG42" s="17"/>
      <c r="AH42" s="16"/>
      <c r="AI42" s="16"/>
      <c r="AJ42" s="16"/>
      <c r="AK42" s="16"/>
      <c r="AL42" s="16"/>
      <c r="AM42" s="17"/>
      <c r="AN42" s="17"/>
      <c r="AO42" s="16">
        <f t="shared" si="1"/>
        <v>0</v>
      </c>
      <c r="AP42" s="51" t="s">
        <v>66</v>
      </c>
      <c r="AQ42" s="45">
        <v>30</v>
      </c>
      <c r="AR42" s="19">
        <f t="shared" si="0"/>
        <v>24</v>
      </c>
    </row>
    <row r="43" spans="1:44" hidden="1">
      <c r="A43" s="75"/>
      <c r="B43" s="46" t="s">
        <v>38</v>
      </c>
      <c r="C43" s="46" t="s">
        <v>28</v>
      </c>
      <c r="D43" s="16" t="s">
        <v>78</v>
      </c>
      <c r="E43" s="24" t="s">
        <v>76</v>
      </c>
      <c r="F43" s="25"/>
      <c r="G43" s="25"/>
      <c r="H43" s="16"/>
      <c r="I43" s="16"/>
      <c r="J43" s="16"/>
      <c r="K43" s="17"/>
      <c r="L43" s="17"/>
      <c r="M43" s="16"/>
      <c r="N43" s="16"/>
      <c r="O43" s="16"/>
      <c r="P43" s="16"/>
      <c r="Q43" s="16"/>
      <c r="R43" s="17"/>
      <c r="S43" s="17"/>
      <c r="T43" s="16"/>
      <c r="U43" s="16"/>
      <c r="V43" s="16"/>
      <c r="W43" s="16"/>
      <c r="X43" s="16"/>
      <c r="Y43" s="17"/>
      <c r="Z43" s="17"/>
      <c r="AA43" s="16"/>
      <c r="AB43" s="16"/>
      <c r="AC43" s="16"/>
      <c r="AD43" s="16"/>
      <c r="AE43" s="16"/>
      <c r="AF43" s="17"/>
      <c r="AG43" s="17"/>
      <c r="AH43" s="16"/>
      <c r="AI43" s="16"/>
      <c r="AJ43" s="16"/>
      <c r="AK43" s="16"/>
      <c r="AL43" s="16"/>
      <c r="AM43" s="17"/>
      <c r="AN43" s="17"/>
      <c r="AO43" s="16">
        <f t="shared" si="1"/>
        <v>0</v>
      </c>
      <c r="AP43" s="16"/>
      <c r="AR43" s="19" t="str">
        <f t="shared" si="0"/>
        <v/>
      </c>
    </row>
    <row r="44" spans="1:44" ht="31.5" hidden="1" customHeight="1">
      <c r="A44" s="84" t="s">
        <v>79</v>
      </c>
      <c r="B44" s="26" t="s">
        <v>55</v>
      </c>
      <c r="C44" s="49" t="s">
        <v>80</v>
      </c>
      <c r="D44" s="16" t="s">
        <v>81</v>
      </c>
      <c r="E44" s="24" t="s">
        <v>45</v>
      </c>
      <c r="F44" s="25"/>
      <c r="G44" s="25"/>
      <c r="H44" s="16"/>
      <c r="I44" s="16"/>
      <c r="J44" s="16"/>
      <c r="K44" s="17"/>
      <c r="L44" s="17"/>
      <c r="M44" s="16"/>
      <c r="N44" s="16"/>
      <c r="O44" s="16"/>
      <c r="P44" s="16"/>
      <c r="Q44" s="16"/>
      <c r="R44" s="17"/>
      <c r="S44" s="17"/>
      <c r="T44" s="16"/>
      <c r="U44" s="16"/>
      <c r="V44" s="16"/>
      <c r="W44" s="16"/>
      <c r="X44" s="16"/>
      <c r="Y44" s="17"/>
      <c r="Z44" s="17"/>
      <c r="AA44" s="16"/>
      <c r="AB44" s="16"/>
      <c r="AC44" s="16"/>
      <c r="AD44" s="16"/>
      <c r="AE44" s="16"/>
      <c r="AF44" s="17"/>
      <c r="AG44" s="17"/>
      <c r="AH44" s="16"/>
      <c r="AI44" s="16"/>
      <c r="AJ44" s="16"/>
      <c r="AK44" s="16"/>
      <c r="AL44" s="16"/>
      <c r="AM44" s="17"/>
      <c r="AN44" s="17"/>
      <c r="AO44" s="16">
        <f t="shared" si="1"/>
        <v>0</v>
      </c>
      <c r="AP44" s="51" t="s">
        <v>72</v>
      </c>
      <c r="AQ44" s="39">
        <v>90</v>
      </c>
      <c r="AR44" s="19">
        <f t="shared" si="0"/>
        <v>72</v>
      </c>
    </row>
    <row r="45" spans="1:44" ht="31.5" hidden="1" customHeight="1">
      <c r="A45" s="82"/>
      <c r="B45" s="77" t="s">
        <v>82</v>
      </c>
      <c r="C45" s="90" t="s">
        <v>83</v>
      </c>
      <c r="D45" s="107" t="s">
        <v>84</v>
      </c>
      <c r="E45" s="28" t="s">
        <v>85</v>
      </c>
      <c r="F45" s="25"/>
      <c r="G45" s="25"/>
      <c r="H45" s="16"/>
      <c r="I45" s="16"/>
      <c r="J45" s="16"/>
      <c r="K45" s="17"/>
      <c r="L45" s="17"/>
      <c r="M45" s="16"/>
      <c r="N45" s="16"/>
      <c r="O45" s="16"/>
      <c r="P45" s="16"/>
      <c r="Q45" s="16"/>
      <c r="R45" s="17"/>
      <c r="S45" s="17"/>
      <c r="T45" s="16"/>
      <c r="U45" s="16"/>
      <c r="V45" s="16"/>
      <c r="W45" s="16"/>
      <c r="X45" s="16"/>
      <c r="Y45" s="17"/>
      <c r="Z45" s="17"/>
      <c r="AA45" s="16"/>
      <c r="AB45" s="16"/>
      <c r="AC45" s="16"/>
      <c r="AD45" s="16"/>
      <c r="AE45" s="16"/>
      <c r="AF45" s="17"/>
      <c r="AG45" s="17"/>
      <c r="AH45" s="16"/>
      <c r="AI45" s="16"/>
      <c r="AJ45" s="16"/>
      <c r="AK45" s="16"/>
      <c r="AL45" s="16"/>
      <c r="AM45" s="17"/>
      <c r="AN45" s="17"/>
      <c r="AO45" s="16">
        <f t="shared" si="1"/>
        <v>0</v>
      </c>
      <c r="AP45" s="106" t="s">
        <v>86</v>
      </c>
      <c r="AQ45" s="45">
        <v>150</v>
      </c>
      <c r="AR45" s="19">
        <f t="shared" si="0"/>
        <v>120</v>
      </c>
    </row>
    <row r="46" spans="1:44" hidden="1">
      <c r="A46" s="82"/>
      <c r="B46" s="78"/>
      <c r="C46" s="80"/>
      <c r="D46" s="89"/>
      <c r="E46" s="24" t="s">
        <v>23</v>
      </c>
      <c r="F46" s="25"/>
      <c r="G46" s="25"/>
      <c r="H46" s="16"/>
      <c r="I46" s="16"/>
      <c r="J46" s="16"/>
      <c r="K46" s="17"/>
      <c r="L46" s="17"/>
      <c r="M46" s="16"/>
      <c r="N46" s="16"/>
      <c r="O46" s="16"/>
      <c r="P46" s="16"/>
      <c r="Q46" s="16"/>
      <c r="R46" s="17"/>
      <c r="S46" s="17"/>
      <c r="T46" s="16"/>
      <c r="U46" s="16"/>
      <c r="V46" s="16"/>
      <c r="W46" s="16"/>
      <c r="X46" s="16"/>
      <c r="Y46" s="17"/>
      <c r="Z46" s="17"/>
      <c r="AA46" s="16"/>
      <c r="AB46" s="16"/>
      <c r="AC46" s="16"/>
      <c r="AD46" s="16"/>
      <c r="AE46" s="16"/>
      <c r="AF46" s="17"/>
      <c r="AG46" s="17"/>
      <c r="AH46" s="16"/>
      <c r="AI46" s="16"/>
      <c r="AJ46" s="16"/>
      <c r="AK46" s="16"/>
      <c r="AL46" s="16"/>
      <c r="AM46" s="17"/>
      <c r="AN46" s="17"/>
      <c r="AO46" s="16">
        <f t="shared" si="1"/>
        <v>0</v>
      </c>
      <c r="AP46" s="89"/>
      <c r="AQ46" s="45"/>
      <c r="AR46" s="19"/>
    </row>
    <row r="47" spans="1:44" hidden="1">
      <c r="A47" s="83"/>
      <c r="B47" s="46" t="s">
        <v>87</v>
      </c>
      <c r="C47" s="46" t="s">
        <v>28</v>
      </c>
      <c r="D47" s="16" t="s">
        <v>84</v>
      </c>
      <c r="E47" s="24" t="s">
        <v>76</v>
      </c>
      <c r="F47" s="25"/>
      <c r="G47" s="25"/>
      <c r="H47" s="16"/>
      <c r="I47" s="16"/>
      <c r="J47" s="16"/>
      <c r="K47" s="17"/>
      <c r="L47" s="17"/>
      <c r="M47" s="16"/>
      <c r="N47" s="16"/>
      <c r="O47" s="16"/>
      <c r="P47" s="16"/>
      <c r="Q47" s="16"/>
      <c r="R47" s="17"/>
      <c r="S47" s="17"/>
      <c r="T47" s="16"/>
      <c r="U47" s="16"/>
      <c r="V47" s="16"/>
      <c r="W47" s="16"/>
      <c r="X47" s="16"/>
      <c r="Y47" s="17"/>
      <c r="Z47" s="17"/>
      <c r="AA47" s="16"/>
      <c r="AB47" s="16"/>
      <c r="AC47" s="16"/>
      <c r="AD47" s="16"/>
      <c r="AE47" s="16"/>
      <c r="AF47" s="17"/>
      <c r="AG47" s="17"/>
      <c r="AH47" s="16"/>
      <c r="AI47" s="16"/>
      <c r="AJ47" s="16"/>
      <c r="AK47" s="16"/>
      <c r="AL47" s="16"/>
      <c r="AM47" s="17"/>
      <c r="AN47" s="17"/>
      <c r="AO47" s="16">
        <f t="shared" si="1"/>
        <v>0</v>
      </c>
      <c r="AP47" s="16"/>
      <c r="AR47" s="19" t="str">
        <f t="shared" si="0"/>
        <v/>
      </c>
    </row>
    <row r="48" spans="1:44" hidden="1">
      <c r="A48" s="84" t="s">
        <v>88</v>
      </c>
      <c r="B48" s="41"/>
      <c r="C48" s="23"/>
      <c r="D48" s="84" t="s">
        <v>53</v>
      </c>
      <c r="E48" s="15"/>
      <c r="F48" s="15"/>
      <c r="G48" s="15"/>
      <c r="H48" s="16"/>
      <c r="I48" s="16"/>
      <c r="J48" s="16"/>
      <c r="K48" s="17"/>
      <c r="L48" s="17"/>
      <c r="M48" s="16"/>
      <c r="N48" s="16"/>
      <c r="O48" s="16"/>
      <c r="P48" s="16"/>
      <c r="Q48" s="16"/>
      <c r="R48" s="17"/>
      <c r="S48" s="17"/>
      <c r="T48" s="16"/>
      <c r="U48" s="16"/>
      <c r="V48" s="16"/>
      <c r="W48" s="16"/>
      <c r="X48" s="16"/>
      <c r="Y48" s="17"/>
      <c r="Z48" s="17"/>
      <c r="AA48" s="16"/>
      <c r="AB48" s="16"/>
      <c r="AC48" s="16"/>
      <c r="AD48" s="16"/>
      <c r="AE48" s="16"/>
      <c r="AF48" s="17"/>
      <c r="AG48" s="17"/>
      <c r="AH48" s="16"/>
      <c r="AI48" s="16"/>
      <c r="AJ48" s="16"/>
      <c r="AK48" s="16"/>
      <c r="AL48" s="16"/>
      <c r="AM48" s="17"/>
      <c r="AN48" s="17"/>
      <c r="AO48" s="16">
        <f t="shared" si="1"/>
        <v>0</v>
      </c>
      <c r="AP48" s="51" t="s">
        <v>66</v>
      </c>
      <c r="AQ48" s="39">
        <v>30</v>
      </c>
      <c r="AR48" s="19">
        <f t="shared" si="0"/>
        <v>24</v>
      </c>
    </row>
    <row r="49" spans="1:44" ht="27" hidden="1" customHeight="1">
      <c r="A49" s="82"/>
      <c r="B49" s="77" t="s">
        <v>63</v>
      </c>
      <c r="C49" s="90" t="s">
        <v>89</v>
      </c>
      <c r="D49" s="82"/>
      <c r="E49" s="15" t="s">
        <v>90</v>
      </c>
      <c r="F49" s="15"/>
      <c r="G49" s="15"/>
      <c r="H49" s="16"/>
      <c r="I49" s="16"/>
      <c r="J49" s="16"/>
      <c r="K49" s="17"/>
      <c r="L49" s="17"/>
      <c r="M49" s="16"/>
      <c r="N49" s="16"/>
      <c r="O49" s="16"/>
      <c r="P49" s="16"/>
      <c r="Q49" s="16"/>
      <c r="R49" s="17"/>
      <c r="S49" s="17"/>
      <c r="T49" s="16"/>
      <c r="U49" s="16"/>
      <c r="V49" s="16"/>
      <c r="W49" s="16"/>
      <c r="X49" s="16"/>
      <c r="Y49" s="17"/>
      <c r="Z49" s="17"/>
      <c r="AA49" s="16"/>
      <c r="AB49" s="16"/>
      <c r="AC49" s="16"/>
      <c r="AD49" s="16"/>
      <c r="AE49" s="16"/>
      <c r="AF49" s="17"/>
      <c r="AG49" s="17"/>
      <c r="AH49" s="16"/>
      <c r="AI49" s="16"/>
      <c r="AJ49" s="16"/>
      <c r="AK49" s="16"/>
      <c r="AL49" s="16"/>
      <c r="AM49" s="17"/>
      <c r="AN49" s="17"/>
      <c r="AO49" s="16">
        <f t="shared" si="1"/>
        <v>0</v>
      </c>
      <c r="AP49" s="105" t="s">
        <v>66</v>
      </c>
      <c r="AQ49">
        <v>30</v>
      </c>
      <c r="AR49" s="19">
        <f t="shared" si="0"/>
        <v>24</v>
      </c>
    </row>
    <row r="50" spans="1:44" ht="26.25" hidden="1" customHeight="1">
      <c r="A50" s="82"/>
      <c r="B50" s="78"/>
      <c r="C50" s="80"/>
      <c r="D50" s="82"/>
      <c r="E50" s="15" t="s">
        <v>23</v>
      </c>
      <c r="F50" s="15"/>
      <c r="G50" s="15"/>
      <c r="H50" s="16"/>
      <c r="I50" s="16"/>
      <c r="J50" s="16"/>
      <c r="K50" s="17"/>
      <c r="L50" s="17"/>
      <c r="M50" s="16"/>
      <c r="N50" s="16"/>
      <c r="O50" s="16"/>
      <c r="P50" s="16"/>
      <c r="Q50" s="16"/>
      <c r="R50" s="17"/>
      <c r="S50" s="17"/>
      <c r="T50" s="16"/>
      <c r="U50" s="16"/>
      <c r="V50" s="16"/>
      <c r="W50" s="16"/>
      <c r="X50" s="16"/>
      <c r="Y50" s="17"/>
      <c r="Z50" s="17"/>
      <c r="AA50" s="16"/>
      <c r="AB50" s="16"/>
      <c r="AC50" s="16"/>
      <c r="AD50" s="16"/>
      <c r="AE50" s="16"/>
      <c r="AF50" s="17"/>
      <c r="AG50" s="17"/>
      <c r="AH50" s="16"/>
      <c r="AI50" s="16"/>
      <c r="AJ50" s="16"/>
      <c r="AK50" s="16"/>
      <c r="AL50" s="16"/>
      <c r="AM50" s="17"/>
      <c r="AN50" s="17"/>
      <c r="AO50" s="16">
        <f t="shared" si="1"/>
        <v>0</v>
      </c>
      <c r="AP50" s="88"/>
      <c r="AR50" s="19" t="str">
        <f t="shared" si="0"/>
        <v/>
      </c>
    </row>
    <row r="51" spans="1:44" hidden="1">
      <c r="A51" s="83"/>
      <c r="B51" s="22" t="s">
        <v>50</v>
      </c>
      <c r="C51" s="23" t="s">
        <v>28</v>
      </c>
      <c r="D51" s="83"/>
      <c r="E51" s="24" t="s">
        <v>30</v>
      </c>
      <c r="F51" s="25"/>
      <c r="G51" s="25"/>
      <c r="H51" s="16"/>
      <c r="I51" s="16"/>
      <c r="J51" s="16"/>
      <c r="K51" s="17"/>
      <c r="L51" s="17"/>
      <c r="M51" s="16"/>
      <c r="N51" s="16"/>
      <c r="O51" s="16"/>
      <c r="P51" s="16"/>
      <c r="Q51" s="16"/>
      <c r="R51" s="17"/>
      <c r="S51" s="17"/>
      <c r="T51" s="16"/>
      <c r="U51" s="16"/>
      <c r="V51" s="16"/>
      <c r="W51" s="16"/>
      <c r="X51" s="16"/>
      <c r="Y51" s="17"/>
      <c r="Z51" s="17"/>
      <c r="AA51" s="16"/>
      <c r="AB51" s="16"/>
      <c r="AC51" s="16"/>
      <c r="AD51" s="16"/>
      <c r="AE51" s="16"/>
      <c r="AF51" s="17"/>
      <c r="AG51" s="17"/>
      <c r="AH51" s="16"/>
      <c r="AI51" s="16"/>
      <c r="AJ51" s="16"/>
      <c r="AK51" s="16"/>
      <c r="AL51" s="16"/>
      <c r="AM51" s="17"/>
      <c r="AN51" s="17"/>
      <c r="AO51" s="16">
        <f t="shared" si="1"/>
        <v>0</v>
      </c>
      <c r="AP51" s="16"/>
      <c r="AR51" s="19" t="str">
        <f t="shared" si="0"/>
        <v/>
      </c>
    </row>
    <row r="52" spans="1:44" hidden="1">
      <c r="A52" s="84" t="s">
        <v>91</v>
      </c>
      <c r="B52" s="77" t="s">
        <v>36</v>
      </c>
      <c r="C52" s="90" t="s">
        <v>92</v>
      </c>
      <c r="D52" s="84" t="s">
        <v>44</v>
      </c>
      <c r="E52" s="15" t="s">
        <v>45</v>
      </c>
      <c r="F52" s="15"/>
      <c r="G52" s="15"/>
      <c r="H52" s="16"/>
      <c r="I52" s="16"/>
      <c r="J52" s="16"/>
      <c r="K52" s="17"/>
      <c r="L52" s="17"/>
      <c r="M52" s="16"/>
      <c r="N52" s="16"/>
      <c r="O52" s="16"/>
      <c r="P52" s="16"/>
      <c r="Q52" s="16"/>
      <c r="R52" s="17"/>
      <c r="S52" s="17"/>
      <c r="T52" s="16"/>
      <c r="U52" s="16"/>
      <c r="V52" s="16"/>
      <c r="W52" s="16"/>
      <c r="X52" s="16"/>
      <c r="Y52" s="17"/>
      <c r="Z52" s="17"/>
      <c r="AA52" s="16"/>
      <c r="AB52" s="16"/>
      <c r="AC52" s="16"/>
      <c r="AD52" s="16"/>
      <c r="AE52" s="16"/>
      <c r="AF52" s="17"/>
      <c r="AG52" s="17"/>
      <c r="AH52" s="16"/>
      <c r="AI52" s="16"/>
      <c r="AJ52" s="16"/>
      <c r="AK52" s="16"/>
      <c r="AL52" s="16"/>
      <c r="AM52" s="17"/>
      <c r="AN52" s="17"/>
      <c r="AO52" s="16">
        <f t="shared" si="1"/>
        <v>0</v>
      </c>
      <c r="AP52" s="106" t="s">
        <v>93</v>
      </c>
      <c r="AQ52">
        <v>75</v>
      </c>
      <c r="AR52" s="19">
        <f t="shared" si="0"/>
        <v>60</v>
      </c>
    </row>
    <row r="53" spans="1:44" hidden="1">
      <c r="A53" s="82"/>
      <c r="B53" s="78"/>
      <c r="C53" s="80"/>
      <c r="D53" s="82"/>
      <c r="E53" s="15" t="s">
        <v>23</v>
      </c>
      <c r="F53" s="15"/>
      <c r="G53" s="15"/>
      <c r="H53" s="16"/>
      <c r="I53" s="16"/>
      <c r="J53" s="16"/>
      <c r="K53" s="17"/>
      <c r="L53" s="17"/>
      <c r="M53" s="16"/>
      <c r="N53" s="16"/>
      <c r="O53" s="16"/>
      <c r="P53" s="16"/>
      <c r="Q53" s="16"/>
      <c r="R53" s="17"/>
      <c r="S53" s="17"/>
      <c r="T53" s="16"/>
      <c r="U53" s="16"/>
      <c r="V53" s="16"/>
      <c r="W53" s="16"/>
      <c r="X53" s="16"/>
      <c r="Y53" s="17"/>
      <c r="Z53" s="17"/>
      <c r="AA53" s="16"/>
      <c r="AB53" s="16"/>
      <c r="AC53" s="16"/>
      <c r="AD53" s="16"/>
      <c r="AE53" s="16"/>
      <c r="AF53" s="17"/>
      <c r="AG53" s="17"/>
      <c r="AH53" s="16"/>
      <c r="AI53" s="16"/>
      <c r="AJ53" s="16"/>
      <c r="AK53" s="16"/>
      <c r="AL53" s="16"/>
      <c r="AM53" s="17"/>
      <c r="AN53" s="17"/>
      <c r="AO53" s="16">
        <f t="shared" si="1"/>
        <v>0</v>
      </c>
      <c r="AP53" s="89"/>
      <c r="AR53" s="19" t="str">
        <f t="shared" si="0"/>
        <v/>
      </c>
    </row>
    <row r="54" spans="1:44" hidden="1">
      <c r="A54" s="82"/>
      <c r="B54" s="77" t="s">
        <v>36</v>
      </c>
      <c r="C54" s="90" t="s">
        <v>94</v>
      </c>
      <c r="D54" s="82"/>
      <c r="E54" s="15" t="s">
        <v>45</v>
      </c>
      <c r="F54" s="15"/>
      <c r="G54" s="15"/>
      <c r="H54" s="16"/>
      <c r="I54" s="16"/>
      <c r="J54" s="16"/>
      <c r="K54" s="17"/>
      <c r="L54" s="17"/>
      <c r="M54" s="16"/>
      <c r="N54" s="16"/>
      <c r="O54" s="16"/>
      <c r="P54" s="16"/>
      <c r="Q54" s="16"/>
      <c r="R54" s="17"/>
      <c r="S54" s="17"/>
      <c r="T54" s="16"/>
      <c r="U54" s="16"/>
      <c r="V54" s="16"/>
      <c r="W54" s="16"/>
      <c r="X54" s="16"/>
      <c r="Y54" s="17"/>
      <c r="Z54" s="17"/>
      <c r="AA54" s="16"/>
      <c r="AB54" s="16"/>
      <c r="AC54" s="16"/>
      <c r="AD54" s="16"/>
      <c r="AE54" s="16"/>
      <c r="AF54" s="17"/>
      <c r="AG54" s="17"/>
      <c r="AH54" s="16"/>
      <c r="AI54" s="16"/>
      <c r="AJ54" s="16"/>
      <c r="AK54" s="16"/>
      <c r="AL54" s="16"/>
      <c r="AM54" s="17"/>
      <c r="AN54" s="17"/>
      <c r="AO54" s="16">
        <f t="shared" si="1"/>
        <v>0</v>
      </c>
      <c r="AP54" s="105" t="s">
        <v>95</v>
      </c>
      <c r="AQ54">
        <v>60</v>
      </c>
      <c r="AR54" s="19">
        <f t="shared" si="0"/>
        <v>48</v>
      </c>
    </row>
    <row r="55" spans="1:44" hidden="1">
      <c r="A55" s="82"/>
      <c r="B55" s="78"/>
      <c r="C55" s="80"/>
      <c r="D55" s="82"/>
      <c r="E55" s="15" t="s">
        <v>23</v>
      </c>
      <c r="F55" s="15"/>
      <c r="G55" s="15"/>
      <c r="H55" s="16"/>
      <c r="I55" s="16"/>
      <c r="J55" s="16"/>
      <c r="K55" s="17"/>
      <c r="L55" s="17"/>
      <c r="M55" s="16"/>
      <c r="N55" s="16"/>
      <c r="O55" s="16"/>
      <c r="P55" s="16"/>
      <c r="Q55" s="16"/>
      <c r="R55" s="17"/>
      <c r="S55" s="17"/>
      <c r="T55" s="16"/>
      <c r="U55" s="16"/>
      <c r="V55" s="16"/>
      <c r="W55" s="16"/>
      <c r="X55" s="16"/>
      <c r="Y55" s="17"/>
      <c r="Z55" s="17"/>
      <c r="AA55" s="16"/>
      <c r="AB55" s="16"/>
      <c r="AC55" s="16"/>
      <c r="AD55" s="16"/>
      <c r="AE55" s="16"/>
      <c r="AF55" s="17"/>
      <c r="AG55" s="17"/>
      <c r="AH55" s="16"/>
      <c r="AI55" s="16"/>
      <c r="AJ55" s="16"/>
      <c r="AK55" s="16"/>
      <c r="AL55" s="16"/>
      <c r="AM55" s="17"/>
      <c r="AN55" s="17"/>
      <c r="AO55" s="16">
        <f t="shared" si="1"/>
        <v>0</v>
      </c>
      <c r="AP55" s="88"/>
      <c r="AR55" s="19" t="str">
        <f t="shared" si="0"/>
        <v/>
      </c>
    </row>
    <row r="56" spans="1:44" hidden="1">
      <c r="A56" s="83"/>
      <c r="B56" s="22" t="s">
        <v>36</v>
      </c>
      <c r="C56" s="23" t="s">
        <v>28</v>
      </c>
      <c r="D56" s="83"/>
      <c r="E56" s="24" t="s">
        <v>30</v>
      </c>
      <c r="F56" s="25"/>
      <c r="G56" s="25"/>
      <c r="H56" s="16"/>
      <c r="I56" s="16"/>
      <c r="J56" s="16"/>
      <c r="K56" s="17"/>
      <c r="L56" s="17"/>
      <c r="M56" s="16"/>
      <c r="N56" s="16"/>
      <c r="O56" s="16"/>
      <c r="P56" s="16"/>
      <c r="Q56" s="16"/>
      <c r="R56" s="17"/>
      <c r="S56" s="17"/>
      <c r="T56" s="16"/>
      <c r="U56" s="16"/>
      <c r="V56" s="16"/>
      <c r="W56" s="16"/>
      <c r="X56" s="16"/>
      <c r="Y56" s="17"/>
      <c r="Z56" s="17"/>
      <c r="AA56" s="16"/>
      <c r="AB56" s="16"/>
      <c r="AC56" s="16"/>
      <c r="AD56" s="16"/>
      <c r="AE56" s="16"/>
      <c r="AF56" s="17"/>
      <c r="AG56" s="17"/>
      <c r="AH56" s="16"/>
      <c r="AI56" s="16"/>
      <c r="AJ56" s="16"/>
      <c r="AK56" s="16"/>
      <c r="AL56" s="16"/>
      <c r="AM56" s="17"/>
      <c r="AN56" s="17"/>
      <c r="AO56" s="16">
        <f t="shared" si="1"/>
        <v>0</v>
      </c>
      <c r="AP56" s="16"/>
      <c r="AR56" s="19" t="str">
        <f t="shared" si="0"/>
        <v/>
      </c>
    </row>
    <row r="57" spans="1:44" hidden="1">
      <c r="A57" s="84" t="s">
        <v>96</v>
      </c>
      <c r="B57" s="22" t="s">
        <v>58</v>
      </c>
      <c r="C57" s="23" t="s">
        <v>59</v>
      </c>
      <c r="D57" s="84" t="s">
        <v>40</v>
      </c>
      <c r="E57" s="29" t="s">
        <v>23</v>
      </c>
      <c r="F57" s="15"/>
      <c r="G57" s="15"/>
      <c r="H57" s="16"/>
      <c r="I57" s="16"/>
      <c r="J57" s="16"/>
      <c r="K57" s="17"/>
      <c r="L57" s="17"/>
      <c r="M57" s="16"/>
      <c r="N57" s="16"/>
      <c r="O57" s="16"/>
      <c r="P57" s="16"/>
      <c r="Q57" s="16"/>
      <c r="R57" s="17"/>
      <c r="S57" s="17"/>
      <c r="T57" s="16"/>
      <c r="U57" s="16"/>
      <c r="V57" s="16"/>
      <c r="W57" s="16"/>
      <c r="X57" s="16"/>
      <c r="Y57" s="17"/>
      <c r="Z57" s="17"/>
      <c r="AA57" s="16"/>
      <c r="AB57" s="16"/>
      <c r="AC57" s="16"/>
      <c r="AD57" s="16"/>
      <c r="AE57" s="16"/>
      <c r="AF57" s="17"/>
      <c r="AG57" s="17"/>
      <c r="AH57" s="16"/>
      <c r="AI57" s="16"/>
      <c r="AJ57" s="16"/>
      <c r="AK57" s="16"/>
      <c r="AL57" s="16"/>
      <c r="AM57" s="17"/>
      <c r="AN57" s="17"/>
      <c r="AO57" s="16">
        <f t="shared" si="1"/>
        <v>0</v>
      </c>
      <c r="AP57" s="51" t="s">
        <v>97</v>
      </c>
      <c r="AQ57" s="42">
        <v>90</v>
      </c>
      <c r="AR57" s="19">
        <f t="shared" si="0"/>
        <v>72</v>
      </c>
    </row>
    <row r="58" spans="1:44" ht="18" hidden="1" customHeight="1">
      <c r="A58" s="82"/>
      <c r="B58" s="26"/>
      <c r="C58" s="27"/>
      <c r="D58" s="82"/>
      <c r="E58" s="15" t="s">
        <v>23</v>
      </c>
      <c r="F58" s="15"/>
      <c r="G58" s="15"/>
      <c r="H58" s="16"/>
      <c r="I58" s="16"/>
      <c r="J58" s="16"/>
      <c r="K58" s="17"/>
      <c r="L58" s="17"/>
      <c r="M58" s="16"/>
      <c r="N58" s="16"/>
      <c r="O58" s="16"/>
      <c r="P58" s="16"/>
      <c r="Q58" s="16"/>
      <c r="R58" s="17"/>
      <c r="S58" s="17"/>
      <c r="T58" s="16"/>
      <c r="U58" s="16"/>
      <c r="V58" s="16"/>
      <c r="W58" s="16"/>
      <c r="X58" s="16"/>
      <c r="Y58" s="17"/>
      <c r="Z58" s="17"/>
      <c r="AA58" s="16"/>
      <c r="AB58" s="16"/>
      <c r="AC58" s="16"/>
      <c r="AD58" s="16"/>
      <c r="AE58" s="16"/>
      <c r="AF58" s="17"/>
      <c r="AG58" s="17"/>
      <c r="AH58" s="16"/>
      <c r="AI58" s="16"/>
      <c r="AJ58" s="16"/>
      <c r="AK58" s="16"/>
      <c r="AL58" s="16"/>
      <c r="AM58" s="17"/>
      <c r="AN58" s="17"/>
      <c r="AO58" s="16">
        <f t="shared" si="1"/>
        <v>0</v>
      </c>
      <c r="AP58" s="26"/>
      <c r="AQ58">
        <v>45</v>
      </c>
      <c r="AR58" s="19">
        <f t="shared" si="0"/>
        <v>36</v>
      </c>
    </row>
    <row r="59" spans="1:44" ht="31" hidden="1">
      <c r="A59" s="82"/>
      <c r="B59" s="20" t="s">
        <v>63</v>
      </c>
      <c r="C59" s="21" t="s">
        <v>98</v>
      </c>
      <c r="D59" s="82"/>
      <c r="E59" s="15" t="s">
        <v>23</v>
      </c>
      <c r="F59" s="15"/>
      <c r="G59" s="15"/>
      <c r="H59" s="16"/>
      <c r="I59" s="16"/>
      <c r="J59" s="16"/>
      <c r="K59" s="17"/>
      <c r="L59" s="17"/>
      <c r="M59" s="16"/>
      <c r="N59" s="16"/>
      <c r="O59" s="16"/>
      <c r="P59" s="16"/>
      <c r="Q59" s="16"/>
      <c r="R59" s="17"/>
      <c r="S59" s="17"/>
      <c r="T59" s="16"/>
      <c r="U59" s="16"/>
      <c r="V59" s="16"/>
      <c r="W59" s="16"/>
      <c r="X59" s="16"/>
      <c r="Y59" s="17"/>
      <c r="Z59" s="17"/>
      <c r="AA59" s="16"/>
      <c r="AB59" s="16"/>
      <c r="AC59" s="16"/>
      <c r="AD59" s="16"/>
      <c r="AE59" s="16"/>
      <c r="AF59" s="17"/>
      <c r="AG59" s="17"/>
      <c r="AH59" s="16"/>
      <c r="AI59" s="16"/>
      <c r="AJ59" s="16"/>
      <c r="AK59" s="16"/>
      <c r="AL59" s="16"/>
      <c r="AM59" s="17"/>
      <c r="AN59" s="17"/>
      <c r="AO59" s="16">
        <f t="shared" si="1"/>
        <v>0</v>
      </c>
      <c r="AP59" s="51" t="s">
        <v>99</v>
      </c>
      <c r="AQ59">
        <v>30</v>
      </c>
      <c r="AR59" s="19">
        <f t="shared" si="0"/>
        <v>24</v>
      </c>
    </row>
    <row r="60" spans="1:44" hidden="1">
      <c r="A60" s="82"/>
      <c r="B60" s="20" t="s">
        <v>24</v>
      </c>
      <c r="C60" s="21" t="s">
        <v>25</v>
      </c>
      <c r="D60" s="82"/>
      <c r="E60" s="15" t="s">
        <v>23</v>
      </c>
      <c r="F60" s="15"/>
      <c r="G60" s="15"/>
      <c r="H60" s="16"/>
      <c r="I60" s="16"/>
      <c r="J60" s="16"/>
      <c r="K60" s="17"/>
      <c r="L60" s="17"/>
      <c r="M60" s="16"/>
      <c r="N60" s="16"/>
      <c r="O60" s="16"/>
      <c r="P60" s="16"/>
      <c r="Q60" s="16"/>
      <c r="R60" s="17"/>
      <c r="S60" s="17"/>
      <c r="T60" s="16"/>
      <c r="U60" s="16"/>
      <c r="V60" s="16"/>
      <c r="W60" s="16"/>
      <c r="X60" s="16"/>
      <c r="Y60" s="17"/>
      <c r="Z60" s="17"/>
      <c r="AA60" s="16"/>
      <c r="AB60" s="16"/>
      <c r="AC60" s="16"/>
      <c r="AD60" s="16"/>
      <c r="AE60" s="16"/>
      <c r="AF60" s="17"/>
      <c r="AG60" s="17"/>
      <c r="AH60" s="16"/>
      <c r="AI60" s="16"/>
      <c r="AJ60" s="16"/>
      <c r="AK60" s="16"/>
      <c r="AL60" s="16"/>
      <c r="AM60" s="17"/>
      <c r="AN60" s="17"/>
      <c r="AO60" s="16">
        <f t="shared" si="1"/>
        <v>0</v>
      </c>
      <c r="AP60" s="51" t="s">
        <v>100</v>
      </c>
      <c r="AQ60">
        <v>30</v>
      </c>
      <c r="AR60" s="19">
        <f t="shared" si="0"/>
        <v>24</v>
      </c>
    </row>
    <row r="61" spans="1:44" hidden="1">
      <c r="A61" s="83"/>
      <c r="B61" s="22" t="s">
        <v>24</v>
      </c>
      <c r="C61" s="23" t="s">
        <v>28</v>
      </c>
      <c r="D61" s="83"/>
      <c r="E61" s="24" t="s">
        <v>30</v>
      </c>
      <c r="F61" s="25"/>
      <c r="G61" s="25"/>
      <c r="H61" s="16"/>
      <c r="I61" s="16"/>
      <c r="J61" s="16"/>
      <c r="K61" s="17"/>
      <c r="L61" s="17"/>
      <c r="M61" s="16"/>
      <c r="N61" s="16"/>
      <c r="O61" s="16"/>
      <c r="P61" s="16"/>
      <c r="Q61" s="16"/>
      <c r="R61" s="17"/>
      <c r="S61" s="17"/>
      <c r="T61" s="16"/>
      <c r="U61" s="16"/>
      <c r="V61" s="16"/>
      <c r="W61" s="16"/>
      <c r="X61" s="16"/>
      <c r="Y61" s="17"/>
      <c r="Z61" s="17"/>
      <c r="AA61" s="16"/>
      <c r="AB61" s="16"/>
      <c r="AC61" s="16"/>
      <c r="AD61" s="16"/>
      <c r="AE61" s="16"/>
      <c r="AF61" s="17"/>
      <c r="AG61" s="17"/>
      <c r="AH61" s="16"/>
      <c r="AI61" s="16"/>
      <c r="AJ61" s="16"/>
      <c r="AK61" s="16"/>
      <c r="AL61" s="16"/>
      <c r="AM61" s="17"/>
      <c r="AN61" s="17"/>
      <c r="AO61" s="16">
        <f t="shared" si="1"/>
        <v>0</v>
      </c>
      <c r="AP61" s="16"/>
      <c r="AR61" s="19" t="str">
        <f t="shared" si="0"/>
        <v/>
      </c>
    </row>
    <row r="62" spans="1:44" ht="18" hidden="1" customHeight="1">
      <c r="A62" s="84" t="s">
        <v>101</v>
      </c>
      <c r="B62" s="77" t="s">
        <v>87</v>
      </c>
      <c r="C62" s="90" t="s">
        <v>67</v>
      </c>
      <c r="D62" s="84" t="s">
        <v>56</v>
      </c>
      <c r="E62" s="15" t="s">
        <v>45</v>
      </c>
      <c r="F62" s="15"/>
      <c r="G62" s="15"/>
      <c r="H62" s="16"/>
      <c r="I62" s="16"/>
      <c r="J62" s="16"/>
      <c r="K62" s="17"/>
      <c r="L62" s="17"/>
      <c r="M62" s="16"/>
      <c r="N62" s="16"/>
      <c r="O62" s="16"/>
      <c r="P62" s="16"/>
      <c r="Q62" s="16"/>
      <c r="R62" s="17"/>
      <c r="S62" s="17"/>
      <c r="T62" s="16"/>
      <c r="U62" s="16"/>
      <c r="V62" s="16"/>
      <c r="W62" s="16"/>
      <c r="X62" s="16"/>
      <c r="Y62" s="17"/>
      <c r="Z62" s="17"/>
      <c r="AA62" s="16"/>
      <c r="AB62" s="16"/>
      <c r="AC62" s="16"/>
      <c r="AD62" s="16"/>
      <c r="AE62" s="16"/>
      <c r="AF62" s="17"/>
      <c r="AG62" s="17"/>
      <c r="AH62" s="16"/>
      <c r="AI62" s="16"/>
      <c r="AJ62" s="16"/>
      <c r="AK62" s="16"/>
      <c r="AL62" s="16"/>
      <c r="AM62" s="17"/>
      <c r="AN62" s="17"/>
      <c r="AO62" s="16">
        <f t="shared" si="1"/>
        <v>0</v>
      </c>
      <c r="AP62" s="106" t="s">
        <v>102</v>
      </c>
      <c r="AQ62">
        <v>60</v>
      </c>
      <c r="AR62" s="19">
        <f t="shared" si="0"/>
        <v>48</v>
      </c>
    </row>
    <row r="63" spans="1:44" hidden="1">
      <c r="A63" s="82"/>
      <c r="B63" s="78"/>
      <c r="C63" s="80"/>
      <c r="D63" s="82"/>
      <c r="E63" s="15" t="s">
        <v>23</v>
      </c>
      <c r="F63" s="15"/>
      <c r="G63" s="15"/>
      <c r="H63" s="16"/>
      <c r="I63" s="16"/>
      <c r="J63" s="16"/>
      <c r="K63" s="17"/>
      <c r="L63" s="17"/>
      <c r="M63" s="16"/>
      <c r="N63" s="16"/>
      <c r="O63" s="16"/>
      <c r="P63" s="16"/>
      <c r="Q63" s="16"/>
      <c r="R63" s="17"/>
      <c r="S63" s="17"/>
      <c r="T63" s="16"/>
      <c r="U63" s="16"/>
      <c r="V63" s="16"/>
      <c r="W63" s="16"/>
      <c r="X63" s="16"/>
      <c r="Y63" s="17"/>
      <c r="Z63" s="17"/>
      <c r="AA63" s="16"/>
      <c r="AB63" s="16"/>
      <c r="AC63" s="16"/>
      <c r="AD63" s="16"/>
      <c r="AE63" s="16"/>
      <c r="AF63" s="17"/>
      <c r="AG63" s="17"/>
      <c r="AH63" s="16"/>
      <c r="AI63" s="16"/>
      <c r="AJ63" s="16"/>
      <c r="AK63" s="16"/>
      <c r="AL63" s="16"/>
      <c r="AM63" s="17"/>
      <c r="AN63" s="17"/>
      <c r="AO63" s="16">
        <f t="shared" si="1"/>
        <v>0</v>
      </c>
      <c r="AP63" s="89"/>
      <c r="AR63" s="19" t="str">
        <f t="shared" si="0"/>
        <v/>
      </c>
    </row>
    <row r="64" spans="1:44" hidden="1">
      <c r="A64" s="83"/>
      <c r="B64" s="22" t="s">
        <v>55</v>
      </c>
      <c r="C64" s="23" t="s">
        <v>28</v>
      </c>
      <c r="D64" s="83"/>
      <c r="E64" s="24" t="s">
        <v>30</v>
      </c>
      <c r="F64" s="25"/>
      <c r="G64" s="25"/>
      <c r="H64" s="16"/>
      <c r="I64" s="16"/>
      <c r="J64" s="16"/>
      <c r="K64" s="17"/>
      <c r="L64" s="17"/>
      <c r="M64" s="16"/>
      <c r="N64" s="16"/>
      <c r="O64" s="16"/>
      <c r="P64" s="16"/>
      <c r="Q64" s="16"/>
      <c r="R64" s="17"/>
      <c r="S64" s="17"/>
      <c r="T64" s="16"/>
      <c r="U64" s="16"/>
      <c r="V64" s="16"/>
      <c r="W64" s="16"/>
      <c r="X64" s="16"/>
      <c r="Y64" s="17"/>
      <c r="Z64" s="17"/>
      <c r="AA64" s="16"/>
      <c r="AB64" s="16"/>
      <c r="AC64" s="16"/>
      <c r="AD64" s="16"/>
      <c r="AE64" s="16"/>
      <c r="AF64" s="17"/>
      <c r="AG64" s="17"/>
      <c r="AH64" s="16"/>
      <c r="AI64" s="16"/>
      <c r="AJ64" s="16"/>
      <c r="AK64" s="16"/>
      <c r="AL64" s="16"/>
      <c r="AM64" s="17"/>
      <c r="AN64" s="17"/>
      <c r="AO64" s="16">
        <f t="shared" ref="AO64:AO91" si="2">SUM(F64:AN64)</f>
        <v>0</v>
      </c>
      <c r="AP64" s="16"/>
      <c r="AR64" s="19" t="str">
        <f t="shared" si="0"/>
        <v/>
      </c>
    </row>
    <row r="65" spans="1:44" hidden="1">
      <c r="A65" s="84" t="s">
        <v>103</v>
      </c>
      <c r="B65" s="77" t="s">
        <v>104</v>
      </c>
      <c r="C65" s="90" t="s">
        <v>59</v>
      </c>
      <c r="D65" s="84" t="s">
        <v>105</v>
      </c>
      <c r="E65" s="15" t="s">
        <v>45</v>
      </c>
      <c r="F65" s="15"/>
      <c r="G65" s="15"/>
      <c r="H65" s="16"/>
      <c r="I65" s="16"/>
      <c r="J65" s="16"/>
      <c r="K65" s="17"/>
      <c r="L65" s="17"/>
      <c r="M65" s="16"/>
      <c r="N65" s="16"/>
      <c r="O65" s="16"/>
      <c r="P65" s="16"/>
      <c r="Q65" s="16"/>
      <c r="R65" s="17"/>
      <c r="S65" s="17"/>
      <c r="T65" s="16"/>
      <c r="U65" s="16"/>
      <c r="V65" s="16"/>
      <c r="W65" s="16"/>
      <c r="X65" s="16"/>
      <c r="Y65" s="17"/>
      <c r="Z65" s="17"/>
      <c r="AA65" s="16"/>
      <c r="AB65" s="16"/>
      <c r="AC65" s="16"/>
      <c r="AD65" s="16"/>
      <c r="AE65" s="16"/>
      <c r="AF65" s="17"/>
      <c r="AG65" s="17"/>
      <c r="AH65" s="16"/>
      <c r="AI65" s="16"/>
      <c r="AJ65" s="16"/>
      <c r="AK65" s="16"/>
      <c r="AL65" s="16"/>
      <c r="AM65" s="17"/>
      <c r="AN65" s="17"/>
      <c r="AO65" s="16">
        <f t="shared" si="2"/>
        <v>0</v>
      </c>
      <c r="AP65" s="106" t="s">
        <v>106</v>
      </c>
      <c r="AQ65">
        <v>90</v>
      </c>
      <c r="AR65" s="19">
        <f t="shared" si="0"/>
        <v>72</v>
      </c>
    </row>
    <row r="66" spans="1:44" hidden="1">
      <c r="A66" s="82"/>
      <c r="B66" s="78"/>
      <c r="C66" s="80"/>
      <c r="D66" s="82"/>
      <c r="E66" s="15" t="s">
        <v>23</v>
      </c>
      <c r="F66" s="15"/>
      <c r="G66" s="15"/>
      <c r="H66" s="16"/>
      <c r="I66" s="16"/>
      <c r="J66" s="16"/>
      <c r="K66" s="17"/>
      <c r="L66" s="17"/>
      <c r="M66" s="16"/>
      <c r="N66" s="16"/>
      <c r="O66" s="16"/>
      <c r="P66" s="16"/>
      <c r="Q66" s="16"/>
      <c r="R66" s="17"/>
      <c r="S66" s="17"/>
      <c r="T66" s="16"/>
      <c r="U66" s="16"/>
      <c r="V66" s="16"/>
      <c r="W66" s="16"/>
      <c r="X66" s="16"/>
      <c r="Y66" s="17"/>
      <c r="Z66" s="17"/>
      <c r="AA66" s="16"/>
      <c r="AB66" s="16"/>
      <c r="AC66" s="16"/>
      <c r="AD66" s="16"/>
      <c r="AE66" s="16"/>
      <c r="AF66" s="17"/>
      <c r="AG66" s="17"/>
      <c r="AH66" s="16"/>
      <c r="AI66" s="16"/>
      <c r="AJ66" s="16"/>
      <c r="AK66" s="16"/>
      <c r="AL66" s="16"/>
      <c r="AM66" s="17"/>
      <c r="AN66" s="17"/>
      <c r="AO66" s="16">
        <f t="shared" si="2"/>
        <v>0</v>
      </c>
      <c r="AP66" s="89"/>
      <c r="AR66" s="19" t="str">
        <f t="shared" si="0"/>
        <v/>
      </c>
    </row>
    <row r="67" spans="1:44" hidden="1">
      <c r="A67" s="83"/>
      <c r="B67" s="22" t="s">
        <v>87</v>
      </c>
      <c r="C67" s="23" t="s">
        <v>28</v>
      </c>
      <c r="D67" s="83"/>
      <c r="E67" s="24" t="s">
        <v>30</v>
      </c>
      <c r="F67" s="25"/>
      <c r="G67" s="25"/>
      <c r="H67" s="16"/>
      <c r="I67" s="16"/>
      <c r="J67" s="16"/>
      <c r="K67" s="17"/>
      <c r="L67" s="17"/>
      <c r="M67" s="16"/>
      <c r="N67" s="16"/>
      <c r="O67" s="16"/>
      <c r="P67" s="16"/>
      <c r="Q67" s="16"/>
      <c r="R67" s="17"/>
      <c r="S67" s="17"/>
      <c r="T67" s="16"/>
      <c r="U67" s="16"/>
      <c r="V67" s="16"/>
      <c r="W67" s="16"/>
      <c r="X67" s="16"/>
      <c r="Y67" s="17"/>
      <c r="Z67" s="17"/>
      <c r="AA67" s="16"/>
      <c r="AB67" s="16"/>
      <c r="AC67" s="16"/>
      <c r="AD67" s="16"/>
      <c r="AE67" s="16"/>
      <c r="AF67" s="17"/>
      <c r="AG67" s="17"/>
      <c r="AH67" s="16"/>
      <c r="AI67" s="16"/>
      <c r="AJ67" s="16"/>
      <c r="AK67" s="16"/>
      <c r="AL67" s="16"/>
      <c r="AM67" s="17"/>
      <c r="AN67" s="17"/>
      <c r="AO67" s="16">
        <f t="shared" si="2"/>
        <v>0</v>
      </c>
      <c r="AP67" s="16"/>
      <c r="AR67" s="19" t="str">
        <f t="shared" si="0"/>
        <v/>
      </c>
    </row>
    <row r="68" spans="1:44" ht="31" hidden="1">
      <c r="A68" s="91" t="s">
        <v>107</v>
      </c>
      <c r="B68" s="26" t="s">
        <v>63</v>
      </c>
      <c r="C68" s="27" t="s">
        <v>98</v>
      </c>
      <c r="D68" s="75" t="s">
        <v>108</v>
      </c>
      <c r="E68" s="28" t="s">
        <v>109</v>
      </c>
      <c r="F68" s="24"/>
      <c r="G68" s="24"/>
      <c r="H68" s="16"/>
      <c r="I68" s="16"/>
      <c r="J68" s="16"/>
      <c r="K68" s="17"/>
      <c r="L68" s="17"/>
      <c r="M68" s="16"/>
      <c r="N68" s="16"/>
      <c r="O68" s="16"/>
      <c r="P68" s="16"/>
      <c r="Q68" s="16"/>
      <c r="R68" s="17"/>
      <c r="S68" s="17"/>
      <c r="T68" s="16"/>
      <c r="U68" s="16"/>
      <c r="V68" s="16"/>
      <c r="W68" s="16"/>
      <c r="X68" s="16"/>
      <c r="Y68" s="17"/>
      <c r="Z68" s="17"/>
      <c r="AA68" s="16"/>
      <c r="AB68" s="16"/>
      <c r="AC68" s="16"/>
      <c r="AD68" s="16"/>
      <c r="AE68" s="16"/>
      <c r="AF68" s="17"/>
      <c r="AG68" s="17"/>
      <c r="AH68" s="16"/>
      <c r="AI68" s="16"/>
      <c r="AJ68" s="16"/>
      <c r="AK68" s="16"/>
      <c r="AL68" s="16"/>
      <c r="AM68" s="16"/>
      <c r="AN68" s="16"/>
      <c r="AO68" s="16">
        <f t="shared" si="2"/>
        <v>0</v>
      </c>
      <c r="AP68" s="51" t="s">
        <v>66</v>
      </c>
      <c r="AR68" s="19" t="str">
        <f t="shared" si="0"/>
        <v/>
      </c>
    </row>
    <row r="69" spans="1:44" ht="46.5" hidden="1">
      <c r="A69" s="91"/>
      <c r="B69" s="26" t="s">
        <v>63</v>
      </c>
      <c r="C69" s="27" t="s">
        <v>110</v>
      </c>
      <c r="D69" s="75"/>
      <c r="E69" s="28" t="s">
        <v>109</v>
      </c>
      <c r="F69" s="24"/>
      <c r="G69" s="24"/>
      <c r="H69" s="16"/>
      <c r="I69" s="16"/>
      <c r="J69" s="16"/>
      <c r="K69" s="17"/>
      <c r="L69" s="17"/>
      <c r="M69" s="16"/>
      <c r="N69" s="16"/>
      <c r="O69" s="16"/>
      <c r="P69" s="16"/>
      <c r="Q69" s="16"/>
      <c r="R69" s="17"/>
      <c r="S69" s="17"/>
      <c r="T69" s="16"/>
      <c r="U69" s="16"/>
      <c r="V69" s="16"/>
      <c r="W69" s="16"/>
      <c r="X69" s="16"/>
      <c r="Y69" s="17"/>
      <c r="Z69" s="17"/>
      <c r="AA69" s="16"/>
      <c r="AB69" s="16"/>
      <c r="AC69" s="16"/>
      <c r="AD69" s="16"/>
      <c r="AE69" s="16"/>
      <c r="AF69" s="17"/>
      <c r="AG69" s="17"/>
      <c r="AH69" s="16"/>
      <c r="AI69" s="16"/>
      <c r="AJ69" s="16"/>
      <c r="AK69" s="16"/>
      <c r="AL69" s="16"/>
      <c r="AM69" s="16"/>
      <c r="AN69" s="16"/>
      <c r="AO69" s="16">
        <f t="shared" si="2"/>
        <v>0</v>
      </c>
      <c r="AP69" s="51" t="s">
        <v>111</v>
      </c>
      <c r="AR69" s="19" t="str">
        <f t="shared" si="0"/>
        <v/>
      </c>
    </row>
    <row r="70" spans="1:44" hidden="1">
      <c r="A70" s="91"/>
      <c r="B70" s="26" t="s">
        <v>63</v>
      </c>
      <c r="C70" s="26" t="s">
        <v>28</v>
      </c>
      <c r="D70" s="75"/>
      <c r="E70" s="24" t="s">
        <v>112</v>
      </c>
      <c r="F70" s="24"/>
      <c r="G70" s="24"/>
      <c r="H70" s="16"/>
      <c r="I70" s="16"/>
      <c r="J70" s="16"/>
      <c r="K70" s="17"/>
      <c r="L70" s="17"/>
      <c r="M70" s="16"/>
      <c r="N70" s="16"/>
      <c r="O70" s="16"/>
      <c r="P70" s="16"/>
      <c r="Q70" s="16"/>
      <c r="R70" s="17"/>
      <c r="S70" s="17"/>
      <c r="T70" s="16"/>
      <c r="U70" s="16"/>
      <c r="V70" s="16"/>
      <c r="W70" s="16"/>
      <c r="X70" s="16"/>
      <c r="Y70" s="17"/>
      <c r="Z70" s="17"/>
      <c r="AA70" s="16"/>
      <c r="AB70" s="16"/>
      <c r="AC70" s="16"/>
      <c r="AD70" s="16"/>
      <c r="AE70" s="16"/>
      <c r="AF70" s="17"/>
      <c r="AG70" s="17"/>
      <c r="AH70" s="16"/>
      <c r="AI70" s="16"/>
      <c r="AJ70" s="16"/>
      <c r="AK70" s="16"/>
      <c r="AL70" s="16"/>
      <c r="AM70" s="16"/>
      <c r="AN70" s="16"/>
      <c r="AO70" s="16">
        <f t="shared" si="2"/>
        <v>0</v>
      </c>
      <c r="AP70" s="16"/>
      <c r="AR70" s="19" t="str">
        <f t="shared" si="0"/>
        <v/>
      </c>
    </row>
    <row r="71" spans="1:44" ht="31">
      <c r="A71" s="91" t="s">
        <v>113</v>
      </c>
      <c r="B71" s="26" t="s">
        <v>63</v>
      </c>
      <c r="C71" s="27" t="s">
        <v>98</v>
      </c>
      <c r="D71" s="8" t="s">
        <v>29</v>
      </c>
      <c r="E71" s="24" t="s">
        <v>45</v>
      </c>
      <c r="F71" s="24"/>
      <c r="G71" s="24"/>
      <c r="H71" s="16"/>
      <c r="I71" s="16"/>
      <c r="J71" s="16"/>
      <c r="K71" s="17"/>
      <c r="L71" s="17"/>
      <c r="M71" s="16"/>
      <c r="N71" s="16"/>
      <c r="O71" s="16"/>
      <c r="P71" s="16"/>
      <c r="Q71" s="16"/>
      <c r="R71" s="17"/>
      <c r="S71" s="17"/>
      <c r="T71" s="16">
        <v>4</v>
      </c>
      <c r="U71" s="16"/>
      <c r="V71" s="16"/>
      <c r="W71" s="16"/>
      <c r="X71" s="16"/>
      <c r="Y71" s="17"/>
      <c r="Z71" s="17"/>
      <c r="AA71" s="16"/>
      <c r="AB71" s="16"/>
      <c r="AC71" s="16">
        <v>4</v>
      </c>
      <c r="AD71" s="16"/>
      <c r="AE71" s="16"/>
      <c r="AF71" s="17"/>
      <c r="AG71" s="17"/>
      <c r="AH71" s="16"/>
      <c r="AI71" s="16"/>
      <c r="AJ71" s="16"/>
      <c r="AK71" s="16"/>
      <c r="AL71" s="16"/>
      <c r="AM71" s="16"/>
      <c r="AN71" s="16"/>
      <c r="AO71" s="16">
        <f t="shared" si="2"/>
        <v>8</v>
      </c>
      <c r="AP71" s="51" t="s">
        <v>114</v>
      </c>
      <c r="AQ71">
        <v>30</v>
      </c>
      <c r="AR71" s="19">
        <f t="shared" si="0"/>
        <v>24</v>
      </c>
    </row>
    <row r="72" spans="1:44">
      <c r="A72" s="91"/>
      <c r="B72" s="26" t="s">
        <v>20</v>
      </c>
      <c r="C72" s="27" t="s">
        <v>115</v>
      </c>
      <c r="D72" s="8" t="s">
        <v>29</v>
      </c>
      <c r="E72" s="24" t="s">
        <v>45</v>
      </c>
      <c r="F72" s="24"/>
      <c r="G72" s="24"/>
      <c r="H72" s="16"/>
      <c r="I72" s="16"/>
      <c r="J72" s="16"/>
      <c r="K72" s="17"/>
      <c r="L72" s="17"/>
      <c r="M72" s="16"/>
      <c r="N72" s="16"/>
      <c r="O72" s="16"/>
      <c r="P72" s="16"/>
      <c r="Q72" s="16"/>
      <c r="R72" s="17"/>
      <c r="S72" s="17"/>
      <c r="T72" s="16"/>
      <c r="U72" s="16">
        <v>4</v>
      </c>
      <c r="V72" s="16">
        <v>4</v>
      </c>
      <c r="W72" s="16"/>
      <c r="X72" s="16"/>
      <c r="Y72" s="17"/>
      <c r="Z72" s="17"/>
      <c r="AA72" s="16"/>
      <c r="AB72" s="16"/>
      <c r="AC72" s="16"/>
      <c r="AD72" s="16"/>
      <c r="AE72" s="16"/>
      <c r="AF72" s="17"/>
      <c r="AG72" s="17"/>
      <c r="AH72" s="16"/>
      <c r="AI72" s="16"/>
      <c r="AJ72" s="16"/>
      <c r="AK72" s="16"/>
      <c r="AL72" s="16"/>
      <c r="AM72" s="16"/>
      <c r="AN72" s="16"/>
      <c r="AO72" s="16">
        <f t="shared" si="2"/>
        <v>8</v>
      </c>
      <c r="AP72" s="51" t="s">
        <v>116</v>
      </c>
      <c r="AQ72">
        <v>60</v>
      </c>
      <c r="AR72" s="19">
        <f t="shared" si="0"/>
        <v>48</v>
      </c>
    </row>
    <row r="73" spans="1:44" ht="31" hidden="1">
      <c r="A73" s="91"/>
      <c r="B73" s="26" t="s">
        <v>117</v>
      </c>
      <c r="C73" s="27" t="s">
        <v>118</v>
      </c>
      <c r="D73" s="8" t="s">
        <v>29</v>
      </c>
      <c r="E73" s="24"/>
      <c r="F73" s="24"/>
      <c r="G73" s="24"/>
      <c r="H73" s="16"/>
      <c r="I73" s="16"/>
      <c r="J73" s="16"/>
      <c r="K73" s="17"/>
      <c r="L73" s="17"/>
      <c r="M73" s="16"/>
      <c r="N73" s="16"/>
      <c r="O73" s="16"/>
      <c r="P73" s="16"/>
      <c r="Q73" s="16"/>
      <c r="R73" s="17"/>
      <c r="S73" s="17"/>
      <c r="T73" s="16"/>
      <c r="U73" s="16"/>
      <c r="V73" s="16"/>
      <c r="W73" s="16"/>
      <c r="X73" s="16"/>
      <c r="Y73" s="17"/>
      <c r="Z73" s="17"/>
      <c r="AA73" s="16"/>
      <c r="AB73" s="16"/>
      <c r="AC73" s="16"/>
      <c r="AD73" s="16"/>
      <c r="AE73" s="16"/>
      <c r="AF73" s="17"/>
      <c r="AG73" s="17"/>
      <c r="AH73" s="16"/>
      <c r="AI73" s="16"/>
      <c r="AJ73" s="16"/>
      <c r="AK73" s="16"/>
      <c r="AL73" s="16"/>
      <c r="AM73" s="16"/>
      <c r="AN73" s="16"/>
      <c r="AO73" s="16">
        <f t="shared" si="2"/>
        <v>0</v>
      </c>
      <c r="AP73" s="16"/>
      <c r="AQ73">
        <v>30</v>
      </c>
      <c r="AR73" s="19">
        <f t="shared" si="0"/>
        <v>24</v>
      </c>
    </row>
    <row r="74" spans="1:44">
      <c r="A74" s="91"/>
      <c r="B74" s="26" t="s">
        <v>36</v>
      </c>
      <c r="C74" s="27" t="s">
        <v>119</v>
      </c>
      <c r="D74" s="8" t="s">
        <v>120</v>
      </c>
      <c r="E74" s="24" t="s">
        <v>45</v>
      </c>
      <c r="F74" s="24"/>
      <c r="G74" s="24"/>
      <c r="H74" s="16"/>
      <c r="I74" s="16"/>
      <c r="J74" s="16"/>
      <c r="K74" s="17"/>
      <c r="L74" s="17"/>
      <c r="M74" s="16"/>
      <c r="N74" s="16"/>
      <c r="O74" s="16"/>
      <c r="P74" s="16"/>
      <c r="Q74" s="16"/>
      <c r="R74" s="17"/>
      <c r="S74" s="17"/>
      <c r="T74" s="16"/>
      <c r="U74" s="16"/>
      <c r="V74" s="16"/>
      <c r="W74" s="16"/>
      <c r="X74" s="16"/>
      <c r="Y74" s="17"/>
      <c r="Z74" s="17"/>
      <c r="AA74" s="16"/>
      <c r="AB74" s="16">
        <v>4</v>
      </c>
      <c r="AC74" s="16"/>
      <c r="AD74" s="16"/>
      <c r="AE74" s="16"/>
      <c r="AF74" s="17"/>
      <c r="AG74" s="17"/>
      <c r="AH74" s="16"/>
      <c r="AI74" s="16"/>
      <c r="AJ74" s="16"/>
      <c r="AK74" s="16"/>
      <c r="AL74" s="16"/>
      <c r="AM74" s="16"/>
      <c r="AN74" s="16"/>
      <c r="AO74" s="16">
        <f t="shared" si="2"/>
        <v>4</v>
      </c>
      <c r="AP74" s="51" t="s">
        <v>121</v>
      </c>
      <c r="AQ74">
        <v>75</v>
      </c>
      <c r="AR74" s="19">
        <f t="shared" ref="AR74:AR94" si="3">IF(AQ74="","",AQ74-(AQ74*$AS$9))</f>
        <v>60</v>
      </c>
    </row>
    <row r="75" spans="1:44" ht="31">
      <c r="A75" s="91"/>
      <c r="B75" s="26" t="s">
        <v>50</v>
      </c>
      <c r="C75" s="27" t="s">
        <v>75</v>
      </c>
      <c r="D75" s="8" t="s">
        <v>29</v>
      </c>
      <c r="E75" s="24" t="s">
        <v>45</v>
      </c>
      <c r="F75" s="24"/>
      <c r="G75" s="24"/>
      <c r="H75" s="16"/>
      <c r="I75" s="16"/>
      <c r="J75" s="16"/>
      <c r="K75" s="17"/>
      <c r="L75" s="17"/>
      <c r="M75" s="16"/>
      <c r="N75" s="16"/>
      <c r="O75" s="16"/>
      <c r="P75" s="16"/>
      <c r="Q75" s="16"/>
      <c r="R75" s="17"/>
      <c r="S75" s="17"/>
      <c r="T75" s="16"/>
      <c r="U75" s="16"/>
      <c r="V75" s="16"/>
      <c r="W75" s="16"/>
      <c r="X75" s="16"/>
      <c r="Y75" s="17"/>
      <c r="Z75" s="17"/>
      <c r="AA75" s="16">
        <v>4</v>
      </c>
      <c r="AB75" s="16"/>
      <c r="AC75" s="16"/>
      <c r="AD75" s="16"/>
      <c r="AE75" s="16"/>
      <c r="AF75" s="17"/>
      <c r="AG75" s="17"/>
      <c r="AH75" s="16"/>
      <c r="AI75" s="16"/>
      <c r="AJ75" s="16"/>
      <c r="AK75" s="16"/>
      <c r="AL75" s="16"/>
      <c r="AM75" s="16"/>
      <c r="AN75" s="16"/>
      <c r="AO75" s="16">
        <f t="shared" si="2"/>
        <v>4</v>
      </c>
      <c r="AP75" s="51" t="s">
        <v>121</v>
      </c>
      <c r="AQ75">
        <v>75</v>
      </c>
      <c r="AR75" s="19">
        <f t="shared" si="3"/>
        <v>60</v>
      </c>
    </row>
    <row r="76" spans="1:44">
      <c r="A76" s="91"/>
      <c r="B76" s="26" t="s">
        <v>50</v>
      </c>
      <c r="C76" s="27" t="s">
        <v>28</v>
      </c>
      <c r="D76" s="8" t="s">
        <v>29</v>
      </c>
      <c r="E76" s="24" t="s">
        <v>76</v>
      </c>
      <c r="F76" s="24"/>
      <c r="G76" s="24"/>
      <c r="H76" s="16"/>
      <c r="I76" s="16"/>
      <c r="J76" s="16"/>
      <c r="K76" s="17"/>
      <c r="L76" s="17"/>
      <c r="M76" s="16"/>
      <c r="N76" s="16"/>
      <c r="O76" s="16"/>
      <c r="P76" s="16"/>
      <c r="Q76" s="16"/>
      <c r="R76" s="17"/>
      <c r="S76" s="17"/>
      <c r="T76" s="16"/>
      <c r="U76" s="16"/>
      <c r="V76" s="16"/>
      <c r="W76" s="16"/>
      <c r="X76" s="16"/>
      <c r="Y76" s="17"/>
      <c r="Z76" s="17"/>
      <c r="AA76" s="16">
        <v>1</v>
      </c>
      <c r="AB76" s="16"/>
      <c r="AC76" s="16"/>
      <c r="AD76" s="16"/>
      <c r="AE76" s="16"/>
      <c r="AF76" s="17"/>
      <c r="AG76" s="17"/>
      <c r="AH76" s="16"/>
      <c r="AI76" s="16"/>
      <c r="AJ76" s="16"/>
      <c r="AK76" s="16"/>
      <c r="AL76" s="16"/>
      <c r="AM76" s="16"/>
      <c r="AN76" s="16"/>
      <c r="AO76" s="16">
        <f t="shared" si="2"/>
        <v>1</v>
      </c>
      <c r="AP76" s="16"/>
      <c r="AR76" s="19" t="str">
        <f t="shared" si="3"/>
        <v/>
      </c>
    </row>
    <row r="77" spans="1:44">
      <c r="A77" s="91" t="s">
        <v>122</v>
      </c>
      <c r="B77" s="26" t="s">
        <v>123</v>
      </c>
      <c r="C77" s="27" t="s">
        <v>115</v>
      </c>
      <c r="D77" s="8" t="s">
        <v>71</v>
      </c>
      <c r="E77" s="24" t="s">
        <v>45</v>
      </c>
      <c r="F77" s="24"/>
      <c r="G77" s="24"/>
      <c r="H77" s="16"/>
      <c r="I77" s="16"/>
      <c r="J77" s="16"/>
      <c r="K77" s="17"/>
      <c r="L77" s="17"/>
      <c r="M77" s="16"/>
      <c r="N77" s="16"/>
      <c r="O77" s="16"/>
      <c r="P77" s="16"/>
      <c r="Q77" s="16"/>
      <c r="R77" s="17"/>
      <c r="S77" s="17"/>
      <c r="T77" s="16">
        <v>4</v>
      </c>
      <c r="U77" s="16"/>
      <c r="V77" s="16">
        <v>4</v>
      </c>
      <c r="W77" s="16"/>
      <c r="X77" s="16"/>
      <c r="Y77" s="17"/>
      <c r="Z77" s="17"/>
      <c r="AA77" s="16"/>
      <c r="AB77" s="16"/>
      <c r="AC77" s="16"/>
      <c r="AD77" s="16"/>
      <c r="AE77" s="16"/>
      <c r="AF77" s="17"/>
      <c r="AG77" s="17"/>
      <c r="AH77" s="16"/>
      <c r="AI77" s="16"/>
      <c r="AJ77" s="16"/>
      <c r="AK77" s="16"/>
      <c r="AL77" s="16"/>
      <c r="AM77" s="16"/>
      <c r="AN77" s="16"/>
      <c r="AO77" s="16">
        <f t="shared" si="2"/>
        <v>8</v>
      </c>
      <c r="AP77" s="51" t="s">
        <v>111</v>
      </c>
      <c r="AQ77">
        <v>45</v>
      </c>
      <c r="AR77" s="19">
        <f t="shared" si="3"/>
        <v>36</v>
      </c>
    </row>
    <row r="78" spans="1:44">
      <c r="A78" s="91"/>
      <c r="B78" s="26" t="s">
        <v>42</v>
      </c>
      <c r="C78" s="27" t="s">
        <v>61</v>
      </c>
      <c r="D78" s="8" t="s">
        <v>71</v>
      </c>
      <c r="E78" s="24" t="s">
        <v>45</v>
      </c>
      <c r="F78" s="24"/>
      <c r="G78" s="24"/>
      <c r="H78" s="16"/>
      <c r="I78" s="16"/>
      <c r="J78" s="16"/>
      <c r="K78" s="17"/>
      <c r="L78" s="17"/>
      <c r="M78" s="16"/>
      <c r="N78" s="16"/>
      <c r="O78" s="16"/>
      <c r="P78" s="16"/>
      <c r="Q78" s="16"/>
      <c r="R78" s="17"/>
      <c r="S78" s="17"/>
      <c r="T78" s="16"/>
      <c r="U78" s="16"/>
      <c r="V78" s="16"/>
      <c r="W78" s="16"/>
      <c r="X78" s="16"/>
      <c r="Y78" s="17"/>
      <c r="Z78" s="17"/>
      <c r="AA78" s="16"/>
      <c r="AB78" s="16">
        <v>4</v>
      </c>
      <c r="AC78" s="16"/>
      <c r="AD78" s="16"/>
      <c r="AE78" s="16"/>
      <c r="AF78" s="17"/>
      <c r="AG78" s="17"/>
      <c r="AH78" s="16"/>
      <c r="AI78" s="16"/>
      <c r="AJ78" s="16"/>
      <c r="AK78" s="16"/>
      <c r="AL78" s="16"/>
      <c r="AM78" s="16"/>
      <c r="AN78" s="16"/>
      <c r="AO78" s="16">
        <f t="shared" si="2"/>
        <v>4</v>
      </c>
      <c r="AP78" s="51" t="s">
        <v>124</v>
      </c>
      <c r="AQ78">
        <v>30</v>
      </c>
      <c r="AR78" s="19">
        <f t="shared" si="3"/>
        <v>24</v>
      </c>
    </row>
    <row r="79" spans="1:44">
      <c r="A79" s="91"/>
      <c r="B79" s="26" t="s">
        <v>36</v>
      </c>
      <c r="C79" s="27" t="s">
        <v>119</v>
      </c>
      <c r="D79" s="8" t="s">
        <v>120</v>
      </c>
      <c r="E79" s="24" t="s">
        <v>45</v>
      </c>
      <c r="F79" s="24"/>
      <c r="G79" s="24"/>
      <c r="H79" s="16"/>
      <c r="I79" s="16"/>
      <c r="J79" s="16"/>
      <c r="K79" s="17"/>
      <c r="L79" s="17"/>
      <c r="M79" s="16"/>
      <c r="N79" s="16"/>
      <c r="O79" s="16"/>
      <c r="P79" s="16"/>
      <c r="Q79" s="16"/>
      <c r="R79" s="17"/>
      <c r="S79" s="17"/>
      <c r="T79" s="16"/>
      <c r="U79" s="16"/>
      <c r="V79" s="16"/>
      <c r="W79" s="16"/>
      <c r="X79" s="16"/>
      <c r="Y79" s="17"/>
      <c r="Z79" s="17"/>
      <c r="AA79" s="16"/>
      <c r="AB79" s="16"/>
      <c r="AC79" s="16">
        <v>4</v>
      </c>
      <c r="AD79" s="16"/>
      <c r="AE79" s="16"/>
      <c r="AF79" s="17"/>
      <c r="AG79" s="17"/>
      <c r="AH79" s="16"/>
      <c r="AI79" s="16"/>
      <c r="AJ79" s="16"/>
      <c r="AK79" s="16"/>
      <c r="AL79" s="16"/>
      <c r="AM79" s="16"/>
      <c r="AN79" s="16"/>
      <c r="AO79" s="16">
        <f t="shared" si="2"/>
        <v>4</v>
      </c>
      <c r="AP79" s="51" t="s">
        <v>125</v>
      </c>
      <c r="AQ79">
        <v>45</v>
      </c>
      <c r="AR79" s="19">
        <f t="shared" si="3"/>
        <v>36</v>
      </c>
    </row>
    <row r="80" spans="1:44" ht="31">
      <c r="A80" s="91"/>
      <c r="B80" s="26" t="s">
        <v>63</v>
      </c>
      <c r="C80" s="27" t="s">
        <v>98</v>
      </c>
      <c r="D80" s="8" t="s">
        <v>71</v>
      </c>
      <c r="E80" s="24" t="s">
        <v>45</v>
      </c>
      <c r="F80" s="24"/>
      <c r="G80" s="24"/>
      <c r="H80" s="16"/>
      <c r="I80" s="16"/>
      <c r="J80" s="16"/>
      <c r="K80" s="17"/>
      <c r="L80" s="17"/>
      <c r="M80" s="16"/>
      <c r="N80" s="16"/>
      <c r="O80" s="16"/>
      <c r="P80" s="16"/>
      <c r="Q80" s="16"/>
      <c r="R80" s="17"/>
      <c r="S80" s="17"/>
      <c r="T80" s="16"/>
      <c r="U80" s="16">
        <v>4</v>
      </c>
      <c r="V80" s="16"/>
      <c r="W80" s="16"/>
      <c r="X80" s="16"/>
      <c r="Y80" s="17"/>
      <c r="Z80" s="17"/>
      <c r="AA80" s="16">
        <v>4</v>
      </c>
      <c r="AB80" s="16"/>
      <c r="AC80" s="16"/>
      <c r="AD80" s="16"/>
      <c r="AE80" s="16"/>
      <c r="AF80" s="17"/>
      <c r="AG80" s="17"/>
      <c r="AH80" s="16"/>
      <c r="AI80" s="16"/>
      <c r="AJ80" s="16"/>
      <c r="AK80" s="16"/>
      <c r="AL80" s="16"/>
      <c r="AM80" s="16"/>
      <c r="AN80" s="16"/>
      <c r="AO80" s="16">
        <f t="shared" si="2"/>
        <v>8</v>
      </c>
      <c r="AP80" s="51" t="s">
        <v>114</v>
      </c>
      <c r="AQ80">
        <v>30</v>
      </c>
      <c r="AR80" s="19">
        <f t="shared" si="3"/>
        <v>24</v>
      </c>
    </row>
    <row r="81" spans="1:44">
      <c r="A81" s="91"/>
      <c r="B81" s="26" t="s">
        <v>63</v>
      </c>
      <c r="C81" s="27" t="s">
        <v>28</v>
      </c>
      <c r="D81" s="8" t="s">
        <v>71</v>
      </c>
      <c r="E81" s="24" t="s">
        <v>76</v>
      </c>
      <c r="F81" s="24"/>
      <c r="G81" s="24"/>
      <c r="H81" s="16"/>
      <c r="I81" s="16"/>
      <c r="J81" s="16"/>
      <c r="K81" s="17"/>
      <c r="L81" s="17"/>
      <c r="M81" s="16"/>
      <c r="N81" s="16"/>
      <c r="O81" s="16"/>
      <c r="P81" s="16"/>
      <c r="Q81" s="16"/>
      <c r="R81" s="17"/>
      <c r="S81" s="17"/>
      <c r="T81" s="16">
        <v>1</v>
      </c>
      <c r="U81" s="16"/>
      <c r="V81" s="16"/>
      <c r="W81" s="16"/>
      <c r="X81" s="16"/>
      <c r="Y81" s="17"/>
      <c r="Z81" s="17"/>
      <c r="AA81" s="16">
        <v>1</v>
      </c>
      <c r="AB81" s="16"/>
      <c r="AC81" s="16"/>
      <c r="AD81" s="16"/>
      <c r="AE81" s="16"/>
      <c r="AF81" s="17"/>
      <c r="AG81" s="17"/>
      <c r="AH81" s="16"/>
      <c r="AI81" s="16"/>
      <c r="AJ81" s="16"/>
      <c r="AK81" s="16"/>
      <c r="AL81" s="16"/>
      <c r="AM81" s="16"/>
      <c r="AN81" s="16"/>
      <c r="AO81" s="16">
        <f t="shared" si="2"/>
        <v>2</v>
      </c>
      <c r="AP81" s="16"/>
      <c r="AR81" s="19" t="str">
        <f t="shared" si="3"/>
        <v/>
      </c>
    </row>
    <row r="82" spans="1:44">
      <c r="A82" s="91" t="s">
        <v>126</v>
      </c>
      <c r="B82" s="26" t="s">
        <v>48</v>
      </c>
      <c r="C82" s="27" t="s">
        <v>115</v>
      </c>
      <c r="D82" s="8" t="s">
        <v>78</v>
      </c>
      <c r="E82" s="24" t="s">
        <v>45</v>
      </c>
      <c r="F82" s="24"/>
      <c r="G82" s="24"/>
      <c r="H82" s="16"/>
      <c r="I82" s="16"/>
      <c r="J82" s="16"/>
      <c r="K82" s="17"/>
      <c r="L82" s="17"/>
      <c r="M82" s="16"/>
      <c r="N82" s="16"/>
      <c r="O82" s="16"/>
      <c r="P82" s="16"/>
      <c r="Q82" s="16"/>
      <c r="R82" s="17"/>
      <c r="S82" s="17"/>
      <c r="T82" s="16">
        <v>4</v>
      </c>
      <c r="U82" s="16">
        <v>4</v>
      </c>
      <c r="V82" s="16"/>
      <c r="W82" s="16"/>
      <c r="X82" s="16"/>
      <c r="Y82" s="17"/>
      <c r="Z82" s="17"/>
      <c r="AA82" s="16"/>
      <c r="AB82" s="16"/>
      <c r="AC82" s="16"/>
      <c r="AD82" s="16"/>
      <c r="AE82" s="16"/>
      <c r="AF82" s="17"/>
      <c r="AG82" s="17"/>
      <c r="AH82" s="16"/>
      <c r="AI82" s="16"/>
      <c r="AJ82" s="16"/>
      <c r="AK82" s="16"/>
      <c r="AL82" s="16"/>
      <c r="AM82" s="16"/>
      <c r="AN82" s="16"/>
      <c r="AO82" s="16">
        <f t="shared" si="2"/>
        <v>8</v>
      </c>
      <c r="AP82" s="51" t="s">
        <v>111</v>
      </c>
      <c r="AQ82">
        <v>45</v>
      </c>
      <c r="AR82" s="19">
        <f t="shared" si="3"/>
        <v>36</v>
      </c>
    </row>
    <row r="83" spans="1:44" hidden="1">
      <c r="A83" s="91"/>
      <c r="B83" s="26" t="s">
        <v>42</v>
      </c>
      <c r="C83" s="27" t="s">
        <v>61</v>
      </c>
      <c r="D83" s="8"/>
      <c r="E83" s="24" t="s">
        <v>45</v>
      </c>
      <c r="F83" s="24"/>
      <c r="G83" s="24"/>
      <c r="H83" s="16"/>
      <c r="I83" s="16"/>
      <c r="J83" s="16"/>
      <c r="K83" s="17"/>
      <c r="L83" s="17"/>
      <c r="M83" s="16"/>
      <c r="N83" s="16"/>
      <c r="O83" s="16"/>
      <c r="P83" s="16"/>
      <c r="Q83" s="16"/>
      <c r="R83" s="17"/>
      <c r="S83" s="17"/>
      <c r="T83" s="16"/>
      <c r="U83" s="16"/>
      <c r="V83" s="16"/>
      <c r="W83" s="16"/>
      <c r="X83" s="16"/>
      <c r="Y83" s="17"/>
      <c r="Z83" s="17"/>
      <c r="AA83" s="16"/>
      <c r="AB83" s="16"/>
      <c r="AC83" s="16"/>
      <c r="AD83" s="16"/>
      <c r="AE83" s="16"/>
      <c r="AF83" s="17"/>
      <c r="AG83" s="17"/>
      <c r="AH83" s="16"/>
      <c r="AI83" s="16"/>
      <c r="AJ83" s="16"/>
      <c r="AK83" s="16"/>
      <c r="AL83" s="16"/>
      <c r="AM83" s="16"/>
      <c r="AN83" s="16"/>
      <c r="AO83" s="16">
        <f t="shared" si="2"/>
        <v>0</v>
      </c>
      <c r="AP83" s="16"/>
      <c r="AQ83">
        <v>30</v>
      </c>
      <c r="AR83" s="19">
        <f t="shared" si="3"/>
        <v>24</v>
      </c>
    </row>
    <row r="84" spans="1:44" ht="31">
      <c r="A84" s="91"/>
      <c r="B84" s="26" t="s">
        <v>50</v>
      </c>
      <c r="C84" s="27" t="s">
        <v>75</v>
      </c>
      <c r="D84" s="8" t="s">
        <v>78</v>
      </c>
      <c r="E84" s="24" t="s">
        <v>45</v>
      </c>
      <c r="F84" s="24"/>
      <c r="G84" s="24"/>
      <c r="H84" s="16"/>
      <c r="I84" s="16"/>
      <c r="J84" s="16"/>
      <c r="K84" s="17"/>
      <c r="L84" s="17"/>
      <c r="M84" s="16"/>
      <c r="N84" s="16"/>
      <c r="O84" s="16"/>
      <c r="P84" s="16"/>
      <c r="Q84" s="16"/>
      <c r="R84" s="17"/>
      <c r="S84" s="17"/>
      <c r="T84" s="16"/>
      <c r="U84" s="16"/>
      <c r="V84" s="16"/>
      <c r="W84" s="16"/>
      <c r="X84" s="16"/>
      <c r="Y84" s="17"/>
      <c r="Z84" s="17"/>
      <c r="AA84" s="16"/>
      <c r="AB84" s="16"/>
      <c r="AC84" s="16">
        <v>4</v>
      </c>
      <c r="AD84" s="16"/>
      <c r="AE84" s="16"/>
      <c r="AF84" s="17"/>
      <c r="AG84" s="17"/>
      <c r="AH84" s="16"/>
      <c r="AI84" s="16"/>
      <c r="AJ84" s="16"/>
      <c r="AK84" s="16"/>
      <c r="AL84" s="16"/>
      <c r="AM84" s="16"/>
      <c r="AN84" s="16"/>
      <c r="AO84" s="16">
        <f t="shared" si="2"/>
        <v>4</v>
      </c>
      <c r="AP84" s="51" t="s">
        <v>125</v>
      </c>
      <c r="AQ84">
        <v>45</v>
      </c>
      <c r="AR84" s="19">
        <f t="shared" si="3"/>
        <v>36</v>
      </c>
    </row>
    <row r="85" spans="1:44" ht="31">
      <c r="A85" s="91"/>
      <c r="B85" s="26" t="s">
        <v>63</v>
      </c>
      <c r="C85" s="27" t="s">
        <v>98</v>
      </c>
      <c r="D85" s="8" t="s">
        <v>78</v>
      </c>
      <c r="E85" s="24" t="s">
        <v>45</v>
      </c>
      <c r="F85" s="24"/>
      <c r="G85" s="24"/>
      <c r="H85" s="16"/>
      <c r="I85" s="16"/>
      <c r="J85" s="16"/>
      <c r="K85" s="17"/>
      <c r="L85" s="17"/>
      <c r="M85" s="16"/>
      <c r="N85" s="16"/>
      <c r="O85" s="16"/>
      <c r="P85" s="16"/>
      <c r="Q85" s="16"/>
      <c r="R85" s="17"/>
      <c r="S85" s="17"/>
      <c r="T85" s="16"/>
      <c r="U85" s="16"/>
      <c r="V85" s="16">
        <v>4</v>
      </c>
      <c r="W85" s="16"/>
      <c r="X85" s="16"/>
      <c r="Y85" s="17"/>
      <c r="Z85" s="17"/>
      <c r="AA85" s="16"/>
      <c r="AB85" s="16">
        <v>4</v>
      </c>
      <c r="AC85" s="16"/>
      <c r="AD85" s="16"/>
      <c r="AE85" s="16"/>
      <c r="AF85" s="17"/>
      <c r="AG85" s="17"/>
      <c r="AH85" s="16"/>
      <c r="AI85" s="16"/>
      <c r="AJ85" s="16"/>
      <c r="AK85" s="16"/>
      <c r="AL85" s="16"/>
      <c r="AM85" s="16"/>
      <c r="AN85" s="16"/>
      <c r="AO85" s="16">
        <f t="shared" si="2"/>
        <v>8</v>
      </c>
      <c r="AP85" s="51" t="s">
        <v>114</v>
      </c>
      <c r="AQ85">
        <v>30</v>
      </c>
      <c r="AR85" s="19">
        <f t="shared" si="3"/>
        <v>24</v>
      </c>
    </row>
    <row r="86" spans="1:44">
      <c r="A86" s="91"/>
      <c r="B86" s="26" t="s">
        <v>36</v>
      </c>
      <c r="C86" s="27" t="s">
        <v>119</v>
      </c>
      <c r="D86" s="8" t="s">
        <v>120</v>
      </c>
      <c r="E86" s="24" t="s">
        <v>45</v>
      </c>
      <c r="F86" s="24"/>
      <c r="G86" s="24"/>
      <c r="H86" s="16"/>
      <c r="I86" s="16"/>
      <c r="J86" s="16"/>
      <c r="K86" s="17"/>
      <c r="L86" s="17"/>
      <c r="M86" s="16"/>
      <c r="N86" s="16"/>
      <c r="O86" s="16"/>
      <c r="P86" s="16"/>
      <c r="Q86" s="16"/>
      <c r="R86" s="17"/>
      <c r="S86" s="17"/>
      <c r="T86" s="16"/>
      <c r="U86" s="16"/>
      <c r="V86" s="16"/>
      <c r="W86" s="16"/>
      <c r="X86" s="16"/>
      <c r="Y86" s="17"/>
      <c r="Z86" s="17"/>
      <c r="AA86" s="16">
        <v>4</v>
      </c>
      <c r="AB86" s="16"/>
      <c r="AC86" s="16"/>
      <c r="AD86" s="16"/>
      <c r="AE86" s="16"/>
      <c r="AF86" s="17"/>
      <c r="AG86" s="17"/>
      <c r="AH86" s="16"/>
      <c r="AI86" s="16"/>
      <c r="AJ86" s="16"/>
      <c r="AK86" s="16"/>
      <c r="AL86" s="16"/>
      <c r="AM86" s="16"/>
      <c r="AN86" s="16"/>
      <c r="AO86" s="16">
        <f t="shared" si="2"/>
        <v>4</v>
      </c>
      <c r="AP86" s="51" t="s">
        <v>125</v>
      </c>
      <c r="AQ86">
        <v>45</v>
      </c>
      <c r="AR86" s="19">
        <f t="shared" si="3"/>
        <v>36</v>
      </c>
    </row>
    <row r="87" spans="1:44">
      <c r="A87" s="91"/>
      <c r="B87" s="26" t="s">
        <v>36</v>
      </c>
      <c r="C87" s="27" t="s">
        <v>28</v>
      </c>
      <c r="D87" s="8" t="s">
        <v>78</v>
      </c>
      <c r="E87" s="24" t="s">
        <v>76</v>
      </c>
      <c r="F87" s="24"/>
      <c r="G87" s="24"/>
      <c r="H87" s="16"/>
      <c r="I87" s="16"/>
      <c r="J87" s="16"/>
      <c r="K87" s="17"/>
      <c r="L87" s="17"/>
      <c r="M87" s="16"/>
      <c r="N87" s="16"/>
      <c r="O87" s="16"/>
      <c r="P87" s="16"/>
      <c r="Q87" s="16"/>
      <c r="R87" s="17"/>
      <c r="S87" s="17"/>
      <c r="T87" s="16"/>
      <c r="U87" s="16"/>
      <c r="V87" s="16"/>
      <c r="W87" s="16"/>
      <c r="X87" s="16"/>
      <c r="Y87" s="17"/>
      <c r="Z87" s="17"/>
      <c r="AA87" s="16">
        <v>1</v>
      </c>
      <c r="AB87" s="16"/>
      <c r="AC87" s="16"/>
      <c r="AD87" s="16"/>
      <c r="AE87" s="16"/>
      <c r="AF87" s="17"/>
      <c r="AG87" s="17"/>
      <c r="AH87" s="16"/>
      <c r="AI87" s="16"/>
      <c r="AJ87" s="16"/>
      <c r="AK87" s="16"/>
      <c r="AL87" s="16"/>
      <c r="AM87" s="16"/>
      <c r="AN87" s="16"/>
      <c r="AO87" s="16">
        <f t="shared" si="2"/>
        <v>1</v>
      </c>
      <c r="AP87" s="16"/>
      <c r="AR87" s="19" t="str">
        <f t="shared" si="3"/>
        <v/>
      </c>
    </row>
    <row r="88" spans="1:44">
      <c r="A88" s="91" t="s">
        <v>127</v>
      </c>
      <c r="B88" s="26" t="s">
        <v>58</v>
      </c>
      <c r="C88" s="27" t="s">
        <v>59</v>
      </c>
      <c r="D88" s="8" t="s">
        <v>128</v>
      </c>
      <c r="E88" s="24" t="s">
        <v>45</v>
      </c>
      <c r="F88" s="24"/>
      <c r="G88" s="24"/>
      <c r="H88" s="16"/>
      <c r="I88" s="16"/>
      <c r="J88" s="16"/>
      <c r="K88" s="17"/>
      <c r="L88" s="17"/>
      <c r="M88" s="16"/>
      <c r="N88" s="16"/>
      <c r="O88" s="16"/>
      <c r="P88" s="16"/>
      <c r="Q88" s="16"/>
      <c r="R88" s="17"/>
      <c r="S88" s="17"/>
      <c r="T88" s="16"/>
      <c r="U88" s="16">
        <v>4</v>
      </c>
      <c r="V88" s="16">
        <v>4</v>
      </c>
      <c r="W88" s="16"/>
      <c r="X88" s="16"/>
      <c r="Y88" s="17"/>
      <c r="Z88" s="17"/>
      <c r="AA88" s="16"/>
      <c r="AB88" s="16"/>
      <c r="AC88" s="16">
        <v>4</v>
      </c>
      <c r="AD88" s="16"/>
      <c r="AE88" s="16"/>
      <c r="AF88" s="17"/>
      <c r="AG88" s="17"/>
      <c r="AH88" s="16"/>
      <c r="AI88" s="16"/>
      <c r="AJ88" s="16"/>
      <c r="AK88" s="16"/>
      <c r="AL88" s="16"/>
      <c r="AM88" s="16"/>
      <c r="AN88" s="16"/>
      <c r="AO88" s="16">
        <f t="shared" si="2"/>
        <v>12</v>
      </c>
      <c r="AP88" s="51" t="s">
        <v>129</v>
      </c>
      <c r="AQ88">
        <v>90</v>
      </c>
      <c r="AR88" s="19">
        <f t="shared" si="3"/>
        <v>72</v>
      </c>
    </row>
    <row r="89" spans="1:44" ht="31">
      <c r="A89" s="91"/>
      <c r="B89" s="26" t="s">
        <v>87</v>
      </c>
      <c r="C89" s="27" t="s">
        <v>130</v>
      </c>
      <c r="D89" s="8" t="s">
        <v>128</v>
      </c>
      <c r="E89" s="24" t="s">
        <v>45</v>
      </c>
      <c r="F89" s="24"/>
      <c r="G89" s="24"/>
      <c r="H89" s="16"/>
      <c r="I89" s="16"/>
      <c r="J89" s="16"/>
      <c r="K89" s="17"/>
      <c r="L89" s="17"/>
      <c r="M89" s="16"/>
      <c r="N89" s="16"/>
      <c r="O89" s="16"/>
      <c r="P89" s="16"/>
      <c r="Q89" s="16"/>
      <c r="R89" s="17"/>
      <c r="S89" s="17"/>
      <c r="T89" s="16">
        <v>4</v>
      </c>
      <c r="U89" s="16"/>
      <c r="V89" s="16"/>
      <c r="W89" s="16"/>
      <c r="X89" s="16"/>
      <c r="Y89" s="17"/>
      <c r="Z89" s="17"/>
      <c r="AA89" s="16"/>
      <c r="AB89" s="16">
        <v>4</v>
      </c>
      <c r="AC89" s="16"/>
      <c r="AD89" s="16"/>
      <c r="AE89" s="16"/>
      <c r="AF89" s="17"/>
      <c r="AG89" s="17"/>
      <c r="AH89" s="16"/>
      <c r="AI89" s="16"/>
      <c r="AJ89" s="16"/>
      <c r="AK89" s="16"/>
      <c r="AL89" s="16"/>
      <c r="AM89" s="16"/>
      <c r="AN89" s="16"/>
      <c r="AO89" s="16">
        <f t="shared" si="2"/>
        <v>8</v>
      </c>
      <c r="AP89" s="51" t="s">
        <v>131</v>
      </c>
      <c r="AQ89">
        <v>15</v>
      </c>
      <c r="AR89" s="19">
        <f t="shared" si="3"/>
        <v>12</v>
      </c>
    </row>
    <row r="90" spans="1:44">
      <c r="A90" s="91"/>
      <c r="B90" s="26" t="s">
        <v>42</v>
      </c>
      <c r="C90" s="27" t="s">
        <v>61</v>
      </c>
      <c r="D90" s="8" t="s">
        <v>128</v>
      </c>
      <c r="E90" s="24" t="s">
        <v>45</v>
      </c>
      <c r="F90" s="24"/>
      <c r="G90" s="24"/>
      <c r="H90" s="16"/>
      <c r="I90" s="16"/>
      <c r="J90" s="16"/>
      <c r="K90" s="17"/>
      <c r="L90" s="17"/>
      <c r="M90" s="16"/>
      <c r="N90" s="16"/>
      <c r="O90" s="16"/>
      <c r="P90" s="16"/>
      <c r="Q90" s="16"/>
      <c r="R90" s="17"/>
      <c r="S90" s="17"/>
      <c r="T90" s="16"/>
      <c r="U90" s="16"/>
      <c r="V90" s="16"/>
      <c r="W90" s="16"/>
      <c r="X90" s="16"/>
      <c r="Y90" s="17"/>
      <c r="Z90" s="17"/>
      <c r="AA90" s="16">
        <v>4</v>
      </c>
      <c r="AB90" s="16"/>
      <c r="AC90" s="16"/>
      <c r="AD90" s="16"/>
      <c r="AE90" s="16"/>
      <c r="AF90" s="17"/>
      <c r="AG90" s="17"/>
      <c r="AH90" s="16"/>
      <c r="AI90" s="16"/>
      <c r="AJ90" s="16"/>
      <c r="AK90" s="16"/>
      <c r="AL90" s="16"/>
      <c r="AM90" s="16"/>
      <c r="AN90" s="16"/>
      <c r="AO90" s="16">
        <f t="shared" si="2"/>
        <v>4</v>
      </c>
      <c r="AP90" s="51" t="s">
        <v>124</v>
      </c>
      <c r="AQ90">
        <v>30</v>
      </c>
      <c r="AR90" s="19">
        <f t="shared" si="3"/>
        <v>24</v>
      </c>
    </row>
    <row r="91" spans="1:44">
      <c r="A91" s="91"/>
      <c r="B91" s="26" t="s">
        <v>55</v>
      </c>
      <c r="C91" s="27" t="s">
        <v>28</v>
      </c>
      <c r="D91" s="8" t="s">
        <v>128</v>
      </c>
      <c r="E91" s="24" t="s">
        <v>76</v>
      </c>
      <c r="F91" s="24"/>
      <c r="G91" s="24"/>
      <c r="H91" s="16"/>
      <c r="I91" s="16"/>
      <c r="J91" s="16"/>
      <c r="K91" s="17"/>
      <c r="L91" s="17"/>
      <c r="M91" s="16"/>
      <c r="N91" s="16"/>
      <c r="O91" s="16"/>
      <c r="P91" s="16"/>
      <c r="Q91" s="16"/>
      <c r="R91" s="17"/>
      <c r="S91" s="17"/>
      <c r="T91" s="16">
        <v>1</v>
      </c>
      <c r="U91" s="16"/>
      <c r="V91" s="16"/>
      <c r="W91" s="16"/>
      <c r="X91" s="16"/>
      <c r="Y91" s="17"/>
      <c r="Z91" s="17"/>
      <c r="AA91" s="16">
        <v>1</v>
      </c>
      <c r="AB91" s="16"/>
      <c r="AC91" s="16"/>
      <c r="AD91" s="16"/>
      <c r="AE91" s="16"/>
      <c r="AF91" s="17"/>
      <c r="AG91" s="17"/>
      <c r="AH91" s="16"/>
      <c r="AI91" s="16"/>
      <c r="AJ91" s="16"/>
      <c r="AK91" s="16"/>
      <c r="AL91" s="16"/>
      <c r="AM91" s="16"/>
      <c r="AN91" s="16"/>
      <c r="AO91" s="16">
        <f t="shared" si="2"/>
        <v>2</v>
      </c>
      <c r="AP91" s="16"/>
      <c r="AR91" s="19" t="str">
        <f t="shared" si="3"/>
        <v/>
      </c>
    </row>
    <row r="92" spans="1:44" hidden="1">
      <c r="A92" s="9"/>
      <c r="B92" s="31"/>
      <c r="C92" s="32"/>
      <c r="D92" s="9"/>
      <c r="E92" s="33"/>
      <c r="F92" s="34"/>
      <c r="G92" s="34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40"/>
      <c r="AN92" s="40"/>
      <c r="AO92" s="19"/>
      <c r="AP92" s="19"/>
      <c r="AR92" s="19" t="str">
        <f t="shared" si="3"/>
        <v/>
      </c>
    </row>
    <row r="93" spans="1:44" hidden="1">
      <c r="A93" s="9"/>
      <c r="B93" s="31"/>
      <c r="C93" s="32"/>
      <c r="D93" s="9"/>
      <c r="E93" s="33"/>
      <c r="F93" s="34"/>
      <c r="G93" s="34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40"/>
      <c r="AN93" s="40"/>
      <c r="AO93" s="19"/>
      <c r="AP93" s="19"/>
      <c r="AR93" s="19" t="str">
        <f t="shared" si="3"/>
        <v/>
      </c>
    </row>
    <row r="94" spans="1:44" hidden="1">
      <c r="A94" s="9"/>
      <c r="B94" s="31"/>
      <c r="C94" s="32"/>
      <c r="D94" s="9"/>
      <c r="E94" s="33"/>
      <c r="F94" s="34"/>
      <c r="G94" s="34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40"/>
      <c r="AN94" s="40"/>
      <c r="AO94" s="19"/>
      <c r="AP94" s="19"/>
      <c r="AR94" s="19" t="str">
        <f t="shared" si="3"/>
        <v/>
      </c>
    </row>
    <row r="95" spans="1:44">
      <c r="A95" s="35" t="s">
        <v>132</v>
      </c>
      <c r="B95" s="2"/>
      <c r="C95" s="2"/>
      <c r="D95" s="19"/>
      <c r="E95" s="33"/>
      <c r="F95" s="33"/>
      <c r="G95" s="33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R95" s="19"/>
    </row>
    <row r="96" spans="1:44" hidden="1">
      <c r="A96" s="9"/>
      <c r="B96" s="2"/>
      <c r="C96" s="2"/>
      <c r="D96" s="19"/>
      <c r="E96" s="33"/>
      <c r="F96" s="33"/>
      <c r="G96" s="33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R96" s="19"/>
    </row>
    <row r="97" spans="1:44">
      <c r="A97" s="2"/>
      <c r="B97" s="3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R97" s="19" t="str">
        <f t="shared" ref="AR97" si="4">IF(AQ97="","",AQ97-(AQ97*$AS$9))</f>
        <v/>
      </c>
    </row>
    <row r="98" spans="1:44">
      <c r="AD98" s="38" t="s">
        <v>133</v>
      </c>
    </row>
    <row r="99" spans="1:44" s="3" customFormat="1" ht="18" customHeight="1">
      <c r="B99" s="95" t="s">
        <v>134</v>
      </c>
      <c r="C99" s="95"/>
      <c r="E99" s="6" t="s">
        <v>135</v>
      </c>
      <c r="AE99" s="6" t="s">
        <v>136</v>
      </c>
    </row>
    <row r="100" spans="1:44">
      <c r="AD100" s="3"/>
    </row>
    <row r="104" spans="1:44">
      <c r="E104" s="39" t="s">
        <v>137</v>
      </c>
      <c r="AE104" s="39" t="s">
        <v>138</v>
      </c>
    </row>
  </sheetData>
  <mergeCells count="80">
    <mergeCell ref="A44:A47"/>
    <mergeCell ref="A48:A51"/>
    <mergeCell ref="A52:A56"/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C18:C19"/>
    <mergeCell ref="C21:C22"/>
    <mergeCell ref="C24:C25"/>
    <mergeCell ref="A65:A67"/>
    <mergeCell ref="A68:A70"/>
    <mergeCell ref="A71:A76"/>
    <mergeCell ref="C8:E8"/>
    <mergeCell ref="B99:C99"/>
    <mergeCell ref="A7:A9"/>
    <mergeCell ref="A10:A13"/>
    <mergeCell ref="A14:A15"/>
    <mergeCell ref="A16:A17"/>
    <mergeCell ref="A18:A20"/>
    <mergeCell ref="A21:A23"/>
    <mergeCell ref="A24:A26"/>
    <mergeCell ref="A27:A29"/>
    <mergeCell ref="A30:A34"/>
    <mergeCell ref="A35:A39"/>
    <mergeCell ref="A40:A43"/>
    <mergeCell ref="A77:A81"/>
    <mergeCell ref="A82:A87"/>
    <mergeCell ref="A88:A91"/>
    <mergeCell ref="B7:B9"/>
    <mergeCell ref="B18:B19"/>
    <mergeCell ref="B21:B22"/>
    <mergeCell ref="B24:B25"/>
    <mergeCell ref="B27:B28"/>
    <mergeCell ref="B45:B46"/>
    <mergeCell ref="B49:B50"/>
    <mergeCell ref="B52:B53"/>
    <mergeCell ref="B54:B55"/>
    <mergeCell ref="B62:B63"/>
    <mergeCell ref="B65:B66"/>
    <mergeCell ref="A57:A61"/>
    <mergeCell ref="A62:A64"/>
    <mergeCell ref="C27:C28"/>
    <mergeCell ref="C45:C46"/>
    <mergeCell ref="C49:C50"/>
    <mergeCell ref="C52:C53"/>
    <mergeCell ref="C54:C55"/>
    <mergeCell ref="C62:C63"/>
    <mergeCell ref="C65:C66"/>
    <mergeCell ref="D52:D56"/>
    <mergeCell ref="D57:D61"/>
    <mergeCell ref="D62:D64"/>
    <mergeCell ref="D65:D67"/>
    <mergeCell ref="D18:D19"/>
    <mergeCell ref="D21:D22"/>
    <mergeCell ref="D24:D25"/>
    <mergeCell ref="D27:D28"/>
    <mergeCell ref="D45:D46"/>
    <mergeCell ref="AQ7:AQ9"/>
    <mergeCell ref="AR7:AR9"/>
    <mergeCell ref="D68:D70"/>
    <mergeCell ref="AO7:AO9"/>
    <mergeCell ref="AP7:AP9"/>
    <mergeCell ref="AP18:AP19"/>
    <mergeCell ref="AP21:AP22"/>
    <mergeCell ref="AP24:AP25"/>
    <mergeCell ref="AP27:AP28"/>
    <mergeCell ref="AP45:AP46"/>
    <mergeCell ref="AP49:AP50"/>
    <mergeCell ref="AP52:AP53"/>
    <mergeCell ref="AP54:AP55"/>
    <mergeCell ref="AP62:AP63"/>
    <mergeCell ref="AP65:AP66"/>
    <mergeCell ref="D48:D51"/>
  </mergeCells>
  <printOptions horizontalCentered="1"/>
  <pageMargins left="0.24" right="0.18" top="0.49" bottom="0.35" header="0.28999999999999998" footer="0.31496062992126"/>
  <pageSetup paperSize="9" scale="105" orientation="landscape"/>
  <headerFooter differentFirst="1">
    <oddHeader>&amp;C&amp;P</oddHead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2"/>
  <sheetViews>
    <sheetView tabSelected="1" topLeftCell="A42" workbookViewId="0">
      <selection activeCell="B43" sqref="B43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40" width="2.78515625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4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31</v>
      </c>
      <c r="G8" s="10">
        <v>1</v>
      </c>
      <c r="H8" s="7">
        <v>2</v>
      </c>
      <c r="I8" s="10">
        <v>3</v>
      </c>
      <c r="J8" s="7">
        <v>4</v>
      </c>
      <c r="K8" s="10">
        <v>5</v>
      </c>
      <c r="L8" s="7">
        <v>6</v>
      </c>
      <c r="M8" s="10">
        <v>7</v>
      </c>
      <c r="N8" s="7">
        <v>8</v>
      </c>
      <c r="O8" s="10">
        <v>9</v>
      </c>
      <c r="P8" s="7">
        <v>10</v>
      </c>
      <c r="Q8" s="10">
        <v>11</v>
      </c>
      <c r="R8" s="7">
        <v>12</v>
      </c>
      <c r="S8" s="10">
        <v>13</v>
      </c>
      <c r="T8" s="7">
        <v>14</v>
      </c>
      <c r="U8" s="10">
        <v>15</v>
      </c>
      <c r="V8" s="7">
        <v>16</v>
      </c>
      <c r="W8" s="10">
        <v>17</v>
      </c>
      <c r="X8" s="7">
        <v>18</v>
      </c>
      <c r="Y8" s="10">
        <v>19</v>
      </c>
      <c r="Z8" s="7">
        <v>20</v>
      </c>
      <c r="AA8" s="10">
        <v>21</v>
      </c>
      <c r="AB8" s="7">
        <v>22</v>
      </c>
      <c r="AC8" s="10">
        <v>23</v>
      </c>
      <c r="AD8" s="7">
        <v>24</v>
      </c>
      <c r="AE8" s="10">
        <v>25</v>
      </c>
      <c r="AF8" s="7">
        <v>26</v>
      </c>
      <c r="AG8" s="10">
        <v>27</v>
      </c>
      <c r="AH8" s="7">
        <v>28</v>
      </c>
      <c r="AI8" s="10">
        <v>29</v>
      </c>
      <c r="AJ8" s="7">
        <v>30</v>
      </c>
      <c r="AK8" s="7">
        <v>1</v>
      </c>
      <c r="AL8" s="10">
        <v>2</v>
      </c>
      <c r="AM8" s="7">
        <v>3</v>
      </c>
      <c r="AN8" s="10">
        <v>4</v>
      </c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s="2" customFormat="1" ht="35.25" customHeight="1">
      <c r="A10" s="75" t="s">
        <v>18</v>
      </c>
      <c r="B10" s="26" t="s">
        <v>123</v>
      </c>
      <c r="C10" s="27" t="s">
        <v>140</v>
      </c>
      <c r="D10" s="8" t="s">
        <v>22</v>
      </c>
      <c r="E10" s="43" t="s">
        <v>23</v>
      </c>
      <c r="F10" s="25"/>
      <c r="G10" s="25"/>
      <c r="H10" s="16"/>
      <c r="I10" s="16"/>
      <c r="J10" s="16">
        <v>4</v>
      </c>
      <c r="K10" s="108" t="s">
        <v>141</v>
      </c>
      <c r="L10" s="17"/>
      <c r="M10" s="16">
        <v>4</v>
      </c>
      <c r="N10" s="16">
        <v>4</v>
      </c>
      <c r="O10" s="16">
        <v>4</v>
      </c>
      <c r="P10" s="16">
        <v>4</v>
      </c>
      <c r="Q10" s="16"/>
      <c r="R10" s="17"/>
      <c r="S10" s="17"/>
      <c r="T10" s="16">
        <v>4</v>
      </c>
      <c r="U10" s="16"/>
      <c r="V10" s="16"/>
      <c r="W10" s="16">
        <v>4</v>
      </c>
      <c r="X10" s="16"/>
      <c r="Y10" s="17"/>
      <c r="Z10" s="17"/>
      <c r="AA10" s="16">
        <v>4</v>
      </c>
      <c r="AB10" s="16"/>
      <c r="AC10" s="16"/>
      <c r="AD10" s="16">
        <v>4</v>
      </c>
      <c r="AE10" s="16"/>
      <c r="AF10" s="17"/>
      <c r="AG10" s="17"/>
      <c r="AH10" s="16">
        <v>4</v>
      </c>
      <c r="AI10" s="16"/>
      <c r="AJ10" s="16"/>
      <c r="AK10" s="16">
        <v>4</v>
      </c>
      <c r="AL10" s="16"/>
      <c r="AM10" s="17"/>
      <c r="AN10" s="17"/>
      <c r="AO10" s="16">
        <f>SUM(F10:AN10)</f>
        <v>44</v>
      </c>
      <c r="AP10" s="51" t="s">
        <v>95</v>
      </c>
      <c r="AQ10" s="19">
        <v>60</v>
      </c>
      <c r="AR10" s="19">
        <f t="shared" ref="AR10:AR67" si="0">IF(AQ10="","",AQ10-(AQ10*$AS$9))</f>
        <v>48</v>
      </c>
    </row>
    <row r="11" spans="1:45" s="2" customFormat="1" ht="20.25" customHeight="1">
      <c r="A11" s="75"/>
      <c r="B11" s="26" t="s">
        <v>24</v>
      </c>
      <c r="C11" s="23" t="s">
        <v>28</v>
      </c>
      <c r="D11" s="8" t="s">
        <v>29</v>
      </c>
      <c r="E11" s="44" t="s">
        <v>30</v>
      </c>
      <c r="F11" s="25"/>
      <c r="G11" s="25"/>
      <c r="H11" s="16"/>
      <c r="I11" s="16"/>
      <c r="J11" s="16"/>
      <c r="K11" s="109"/>
      <c r="L11" s="17"/>
      <c r="M11" s="16">
        <v>1</v>
      </c>
      <c r="N11" s="16"/>
      <c r="O11" s="16"/>
      <c r="P11" s="16"/>
      <c r="Q11" s="16"/>
      <c r="R11" s="17"/>
      <c r="S11" s="17"/>
      <c r="T11" s="16">
        <v>1</v>
      </c>
      <c r="U11" s="16"/>
      <c r="V11" s="16"/>
      <c r="W11" s="16"/>
      <c r="X11" s="16"/>
      <c r="Y11" s="17"/>
      <c r="Z11" s="17"/>
      <c r="AA11" s="16">
        <v>1</v>
      </c>
      <c r="AB11" s="16"/>
      <c r="AC11" s="16"/>
      <c r="AD11" s="16"/>
      <c r="AE11" s="16"/>
      <c r="AF11" s="17"/>
      <c r="AG11" s="17"/>
      <c r="AH11" s="16">
        <v>1</v>
      </c>
      <c r="AI11" s="16"/>
      <c r="AJ11" s="16"/>
      <c r="AK11" s="16"/>
      <c r="AL11" s="16"/>
      <c r="AM11" s="17"/>
      <c r="AN11" s="17"/>
      <c r="AO11" s="16">
        <f t="shared" ref="AO11:AO68" si="1">SUM(F11:AN11)</f>
        <v>4</v>
      </c>
      <c r="AP11" s="16"/>
      <c r="AQ11" s="19"/>
      <c r="AR11" s="19" t="str">
        <f t="shared" si="0"/>
        <v/>
      </c>
    </row>
    <row r="12" spans="1:45" ht="42" hidden="1" customHeight="1">
      <c r="A12" s="75" t="s">
        <v>31</v>
      </c>
      <c r="B12" s="26" t="s">
        <v>32</v>
      </c>
      <c r="C12" s="26" t="s">
        <v>33</v>
      </c>
      <c r="D12" s="8" t="s">
        <v>34</v>
      </c>
      <c r="E12" s="24" t="s">
        <v>23</v>
      </c>
      <c r="F12" s="25"/>
      <c r="G12" s="25"/>
      <c r="H12" s="16"/>
      <c r="I12" s="16"/>
      <c r="J12" s="16"/>
      <c r="K12" s="109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1"/>
        <v>0</v>
      </c>
      <c r="AP12" s="51" t="s">
        <v>35</v>
      </c>
      <c r="AQ12" s="45">
        <v>135</v>
      </c>
      <c r="AR12" s="19">
        <f t="shared" si="0"/>
        <v>108</v>
      </c>
    </row>
    <row r="13" spans="1:45" ht="18.75" hidden="1" customHeight="1">
      <c r="A13" s="75"/>
      <c r="B13" s="46" t="s">
        <v>36</v>
      </c>
      <c r="C13" s="46" t="s">
        <v>28</v>
      </c>
      <c r="D13" s="16" t="s">
        <v>34</v>
      </c>
      <c r="E13" s="24" t="s">
        <v>30</v>
      </c>
      <c r="F13" s="25"/>
      <c r="G13" s="25"/>
      <c r="H13" s="16"/>
      <c r="I13" s="16"/>
      <c r="J13" s="16"/>
      <c r="K13" s="109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7"/>
      <c r="AG13" s="17"/>
      <c r="AH13" s="16"/>
      <c r="AI13" s="16"/>
      <c r="AJ13" s="16"/>
      <c r="AK13" s="16"/>
      <c r="AL13" s="16"/>
      <c r="AM13" s="17"/>
      <c r="AN13" s="17"/>
      <c r="AO13" s="16">
        <f t="shared" si="1"/>
        <v>0</v>
      </c>
      <c r="AP13" s="16"/>
      <c r="AQ13" s="45"/>
      <c r="AR13" s="19" t="str">
        <f t="shared" si="0"/>
        <v/>
      </c>
    </row>
    <row r="14" spans="1:45" ht="41.15" hidden="1" customHeight="1">
      <c r="A14" s="84" t="s">
        <v>37</v>
      </c>
      <c r="B14" s="26" t="s">
        <v>38</v>
      </c>
      <c r="C14" s="23" t="s">
        <v>39</v>
      </c>
      <c r="D14" s="16" t="s">
        <v>40</v>
      </c>
      <c r="E14" s="24" t="s">
        <v>23</v>
      </c>
      <c r="F14" s="25"/>
      <c r="G14" s="25"/>
      <c r="H14" s="16"/>
      <c r="I14" s="16"/>
      <c r="J14" s="16"/>
      <c r="K14" s="109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/>
      <c r="Z14" s="17"/>
      <c r="AA14" s="16"/>
      <c r="AB14" s="16"/>
      <c r="AC14" s="16"/>
      <c r="AD14" s="16"/>
      <c r="AE14" s="16"/>
      <c r="AF14" s="17"/>
      <c r="AG14" s="17"/>
      <c r="AH14" s="16"/>
      <c r="AI14" s="16"/>
      <c r="AJ14" s="16"/>
      <c r="AK14" s="16"/>
      <c r="AL14" s="16"/>
      <c r="AM14" s="17"/>
      <c r="AN14" s="17"/>
      <c r="AO14" s="16">
        <f t="shared" si="1"/>
        <v>0</v>
      </c>
      <c r="AP14" s="51" t="s">
        <v>41</v>
      </c>
      <c r="AQ14" s="45">
        <v>90</v>
      </c>
      <c r="AR14" s="19">
        <f t="shared" si="0"/>
        <v>72</v>
      </c>
    </row>
    <row r="15" spans="1:45" ht="21.65" hidden="1" customHeight="1">
      <c r="A15" s="83"/>
      <c r="B15" s="26" t="s">
        <v>42</v>
      </c>
      <c r="C15" s="26" t="s">
        <v>28</v>
      </c>
      <c r="D15" s="16" t="s">
        <v>40</v>
      </c>
      <c r="E15" s="24" t="s">
        <v>30</v>
      </c>
      <c r="F15" s="25"/>
      <c r="G15" s="25"/>
      <c r="H15" s="47"/>
      <c r="I15" s="47"/>
      <c r="J15" s="16"/>
      <c r="K15" s="109"/>
      <c r="L15" s="48"/>
      <c r="M15" s="47"/>
      <c r="N15" s="16"/>
      <c r="O15" s="16"/>
      <c r="P15" s="16"/>
      <c r="Q15" s="47"/>
      <c r="R15" s="48"/>
      <c r="S15" s="48"/>
      <c r="T15" s="47"/>
      <c r="U15" s="47"/>
      <c r="V15" s="16"/>
      <c r="W15" s="16"/>
      <c r="X15" s="47"/>
      <c r="Y15" s="48"/>
      <c r="Z15" s="48"/>
      <c r="AA15" s="47"/>
      <c r="AB15" s="16"/>
      <c r="AC15" s="16"/>
      <c r="AD15" s="16"/>
      <c r="AE15" s="47"/>
      <c r="AF15" s="48"/>
      <c r="AG15" s="48"/>
      <c r="AH15" s="47"/>
      <c r="AI15" s="47"/>
      <c r="AJ15" s="47"/>
      <c r="AK15" s="47"/>
      <c r="AL15" s="16"/>
      <c r="AM15" s="17"/>
      <c r="AN15" s="17"/>
      <c r="AO15" s="16">
        <f t="shared" si="1"/>
        <v>0</v>
      </c>
      <c r="AP15" s="16"/>
      <c r="AQ15" s="45"/>
      <c r="AR15" s="19" t="str">
        <f t="shared" si="0"/>
        <v/>
      </c>
    </row>
    <row r="16" spans="1:45" ht="24" hidden="1" customHeight="1">
      <c r="A16" s="75" t="s">
        <v>43</v>
      </c>
      <c r="B16" s="77" t="s">
        <v>38</v>
      </c>
      <c r="C16" s="90" t="s">
        <v>39</v>
      </c>
      <c r="D16" s="84" t="s">
        <v>44</v>
      </c>
      <c r="E16" s="24" t="s">
        <v>45</v>
      </c>
      <c r="F16" s="25"/>
      <c r="G16" s="25"/>
      <c r="H16" s="16"/>
      <c r="I16" s="16"/>
      <c r="J16" s="16"/>
      <c r="K16" s="109"/>
      <c r="L16" s="17"/>
      <c r="M16" s="16"/>
      <c r="N16" s="16"/>
      <c r="O16" s="16"/>
      <c r="P16" s="16"/>
      <c r="Q16" s="16"/>
      <c r="R16" s="17"/>
      <c r="S16" s="17"/>
      <c r="T16" s="16"/>
      <c r="U16" s="16"/>
      <c r="V16" s="16"/>
      <c r="W16" s="16"/>
      <c r="X16" s="16"/>
      <c r="Y16" s="17"/>
      <c r="Z16" s="17"/>
      <c r="AA16" s="16"/>
      <c r="AB16" s="16"/>
      <c r="AC16" s="16"/>
      <c r="AD16" s="16"/>
      <c r="AE16" s="16"/>
      <c r="AF16" s="17"/>
      <c r="AG16" s="17"/>
      <c r="AH16" s="16"/>
      <c r="AI16" s="16"/>
      <c r="AJ16" s="16"/>
      <c r="AK16" s="16"/>
      <c r="AL16" s="16"/>
      <c r="AM16" s="17"/>
      <c r="AN16" s="17"/>
      <c r="AO16" s="16">
        <f t="shared" si="1"/>
        <v>0</v>
      </c>
      <c r="AP16" s="105" t="s">
        <v>46</v>
      </c>
      <c r="AQ16" s="45">
        <v>90</v>
      </c>
      <c r="AR16" s="19">
        <f t="shared" si="0"/>
        <v>72</v>
      </c>
    </row>
    <row r="17" spans="1:44" ht="24.65" hidden="1" customHeight="1">
      <c r="A17" s="75"/>
      <c r="B17" s="78"/>
      <c r="C17" s="80"/>
      <c r="D17" s="83"/>
      <c r="E17" s="24" t="s">
        <v>23</v>
      </c>
      <c r="F17" s="25"/>
      <c r="G17" s="25"/>
      <c r="H17" s="16"/>
      <c r="I17" s="16"/>
      <c r="J17" s="16"/>
      <c r="K17" s="109"/>
      <c r="L17" s="17"/>
      <c r="M17" s="16"/>
      <c r="N17" s="16"/>
      <c r="O17" s="16"/>
      <c r="P17" s="16"/>
      <c r="Q17" s="16"/>
      <c r="R17" s="17"/>
      <c r="S17" s="17"/>
      <c r="T17" s="16"/>
      <c r="U17" s="16"/>
      <c r="V17" s="16"/>
      <c r="W17" s="16"/>
      <c r="X17" s="16"/>
      <c r="Y17" s="17"/>
      <c r="Z17" s="17"/>
      <c r="AA17" s="16"/>
      <c r="AB17" s="16"/>
      <c r="AC17" s="16"/>
      <c r="AD17" s="16"/>
      <c r="AE17" s="16"/>
      <c r="AF17" s="17"/>
      <c r="AG17" s="17"/>
      <c r="AH17" s="16"/>
      <c r="AI17" s="16"/>
      <c r="AJ17" s="16"/>
      <c r="AK17" s="16"/>
      <c r="AL17" s="16"/>
      <c r="AM17" s="17"/>
      <c r="AN17" s="17"/>
      <c r="AO17" s="16">
        <f t="shared" si="1"/>
        <v>0</v>
      </c>
      <c r="AP17" s="88"/>
      <c r="AQ17" s="45"/>
      <c r="AR17" s="19" t="str">
        <f t="shared" si="0"/>
        <v/>
      </c>
    </row>
    <row r="18" spans="1:44" ht="18.75" hidden="1" customHeight="1">
      <c r="A18" s="75"/>
      <c r="B18" s="46" t="s">
        <v>20</v>
      </c>
      <c r="C18" s="46" t="s">
        <v>28</v>
      </c>
      <c r="D18" s="16" t="s">
        <v>44</v>
      </c>
      <c r="E18" s="24" t="s">
        <v>30</v>
      </c>
      <c r="F18" s="25"/>
      <c r="G18" s="25"/>
      <c r="H18" s="16"/>
      <c r="I18" s="16"/>
      <c r="J18" s="16"/>
      <c r="K18" s="109"/>
      <c r="L18" s="17"/>
      <c r="M18" s="16"/>
      <c r="N18" s="16"/>
      <c r="O18" s="16"/>
      <c r="P18" s="16"/>
      <c r="Q18" s="16"/>
      <c r="R18" s="17"/>
      <c r="S18" s="17"/>
      <c r="T18" s="16"/>
      <c r="U18" s="16"/>
      <c r="V18" s="16"/>
      <c r="W18" s="16"/>
      <c r="X18" s="16"/>
      <c r="Y18" s="17"/>
      <c r="Z18" s="17"/>
      <c r="AA18" s="16"/>
      <c r="AB18" s="16"/>
      <c r="AC18" s="16"/>
      <c r="AD18" s="16"/>
      <c r="AE18" s="16"/>
      <c r="AF18" s="17"/>
      <c r="AG18" s="17"/>
      <c r="AH18" s="16"/>
      <c r="AI18" s="16"/>
      <c r="AJ18" s="16"/>
      <c r="AK18" s="16"/>
      <c r="AL18" s="16"/>
      <c r="AM18" s="17"/>
      <c r="AN18" s="17"/>
      <c r="AO18" s="16">
        <f t="shared" si="1"/>
        <v>0</v>
      </c>
      <c r="AP18" s="16"/>
      <c r="AQ18" s="45"/>
      <c r="AR18" s="19" t="str">
        <f t="shared" si="0"/>
        <v/>
      </c>
    </row>
    <row r="19" spans="1:44" ht="18.75" hidden="1" customHeight="1">
      <c r="A19" s="75" t="s">
        <v>47</v>
      </c>
      <c r="B19" s="77" t="s">
        <v>48</v>
      </c>
      <c r="C19" s="90" t="s">
        <v>39</v>
      </c>
      <c r="D19" s="84" t="s">
        <v>44</v>
      </c>
      <c r="E19" s="24" t="s">
        <v>45</v>
      </c>
      <c r="F19" s="25"/>
      <c r="G19" s="25"/>
      <c r="H19" s="16"/>
      <c r="I19" s="16"/>
      <c r="J19" s="16"/>
      <c r="K19" s="109"/>
      <c r="L19" s="17"/>
      <c r="M19" s="16"/>
      <c r="N19" s="16"/>
      <c r="O19" s="16"/>
      <c r="P19" s="16"/>
      <c r="Q19" s="16"/>
      <c r="R19" s="17"/>
      <c r="S19" s="17"/>
      <c r="T19" s="16"/>
      <c r="U19" s="16"/>
      <c r="V19" s="16"/>
      <c r="W19" s="16"/>
      <c r="X19" s="16"/>
      <c r="Y19" s="17"/>
      <c r="Z19" s="17"/>
      <c r="AA19" s="16"/>
      <c r="AB19" s="16"/>
      <c r="AC19" s="16"/>
      <c r="AD19" s="16"/>
      <c r="AE19" s="16"/>
      <c r="AF19" s="17"/>
      <c r="AG19" s="17"/>
      <c r="AH19" s="16"/>
      <c r="AI19" s="16"/>
      <c r="AJ19" s="16"/>
      <c r="AK19" s="16"/>
      <c r="AL19" s="16"/>
      <c r="AM19" s="17"/>
      <c r="AN19" s="17"/>
      <c r="AO19" s="16">
        <f t="shared" si="1"/>
        <v>0</v>
      </c>
      <c r="AP19" s="105" t="s">
        <v>49</v>
      </c>
      <c r="AQ19" s="45">
        <v>90</v>
      </c>
      <c r="AR19" s="19">
        <f t="shared" si="0"/>
        <v>72</v>
      </c>
    </row>
    <row r="20" spans="1:44" ht="18.75" hidden="1" customHeight="1">
      <c r="A20" s="75"/>
      <c r="B20" s="78"/>
      <c r="C20" s="80"/>
      <c r="D20" s="83"/>
      <c r="E20" s="24" t="s">
        <v>23</v>
      </c>
      <c r="F20" s="25"/>
      <c r="G20" s="25"/>
      <c r="H20" s="16"/>
      <c r="I20" s="16"/>
      <c r="J20" s="16"/>
      <c r="K20" s="109"/>
      <c r="L20" s="17"/>
      <c r="M20" s="16"/>
      <c r="N20" s="16"/>
      <c r="O20" s="16"/>
      <c r="P20" s="16"/>
      <c r="Q20" s="16"/>
      <c r="R20" s="17"/>
      <c r="S20" s="17"/>
      <c r="T20" s="16"/>
      <c r="U20" s="16"/>
      <c r="V20" s="16"/>
      <c r="W20" s="16"/>
      <c r="X20" s="16"/>
      <c r="Y20" s="17"/>
      <c r="Z20" s="17"/>
      <c r="AA20" s="16"/>
      <c r="AB20" s="16"/>
      <c r="AC20" s="16"/>
      <c r="AD20" s="16"/>
      <c r="AE20" s="16"/>
      <c r="AF20" s="17"/>
      <c r="AG20" s="17"/>
      <c r="AH20" s="16"/>
      <c r="AI20" s="16"/>
      <c r="AJ20" s="16"/>
      <c r="AK20" s="16"/>
      <c r="AL20" s="16"/>
      <c r="AM20" s="17"/>
      <c r="AN20" s="17"/>
      <c r="AO20" s="16">
        <f t="shared" si="1"/>
        <v>0</v>
      </c>
      <c r="AP20" s="88"/>
      <c r="AQ20" s="45"/>
      <c r="AR20" s="19" t="str">
        <f t="shared" si="0"/>
        <v/>
      </c>
    </row>
    <row r="21" spans="1:44" ht="18.75" hidden="1" customHeight="1">
      <c r="A21" s="75"/>
      <c r="B21" s="46" t="s">
        <v>50</v>
      </c>
      <c r="C21" s="46" t="s">
        <v>28</v>
      </c>
      <c r="D21" s="16" t="s">
        <v>44</v>
      </c>
      <c r="E21" s="24" t="s">
        <v>51</v>
      </c>
      <c r="F21" s="25"/>
      <c r="G21" s="25"/>
      <c r="H21" s="16"/>
      <c r="I21" s="16"/>
      <c r="J21" s="16"/>
      <c r="K21" s="109"/>
      <c r="L21" s="17"/>
      <c r="M21" s="16"/>
      <c r="N21" s="16"/>
      <c r="O21" s="16"/>
      <c r="P21" s="16"/>
      <c r="Q21" s="16"/>
      <c r="R21" s="17"/>
      <c r="S21" s="17"/>
      <c r="T21" s="16"/>
      <c r="U21" s="16"/>
      <c r="V21" s="16"/>
      <c r="W21" s="16"/>
      <c r="X21" s="16"/>
      <c r="Y21" s="17"/>
      <c r="Z21" s="17"/>
      <c r="AA21" s="16"/>
      <c r="AB21" s="16"/>
      <c r="AC21" s="16"/>
      <c r="AD21" s="16"/>
      <c r="AE21" s="16"/>
      <c r="AF21" s="17"/>
      <c r="AG21" s="17"/>
      <c r="AH21" s="16"/>
      <c r="AI21" s="16"/>
      <c r="AJ21" s="16"/>
      <c r="AK21" s="16"/>
      <c r="AL21" s="16"/>
      <c r="AM21" s="17"/>
      <c r="AN21" s="17"/>
      <c r="AO21" s="16">
        <f t="shared" si="1"/>
        <v>0</v>
      </c>
      <c r="AP21" s="16"/>
      <c r="AQ21" s="45"/>
      <c r="AR21" s="19" t="str">
        <f t="shared" si="0"/>
        <v/>
      </c>
    </row>
    <row r="22" spans="1:44" ht="18" hidden="1" customHeight="1">
      <c r="A22" s="84" t="s">
        <v>52</v>
      </c>
      <c r="B22" s="77" t="s">
        <v>20</v>
      </c>
      <c r="C22" s="90" t="s">
        <v>39</v>
      </c>
      <c r="D22" s="84" t="s">
        <v>53</v>
      </c>
      <c r="E22" s="24" t="s">
        <v>45</v>
      </c>
      <c r="F22" s="25"/>
      <c r="G22" s="25"/>
      <c r="H22" s="16"/>
      <c r="I22" s="16"/>
      <c r="J22" s="16"/>
      <c r="K22" s="109"/>
      <c r="L22" s="17"/>
      <c r="M22" s="16"/>
      <c r="N22" s="16"/>
      <c r="O22" s="16"/>
      <c r="P22" s="16"/>
      <c r="Q22" s="16"/>
      <c r="R22" s="17"/>
      <c r="S22" s="17"/>
      <c r="T22" s="16"/>
      <c r="U22" s="16"/>
      <c r="V22" s="16"/>
      <c r="W22" s="16"/>
      <c r="X22" s="16"/>
      <c r="Y22" s="17"/>
      <c r="Z22" s="17"/>
      <c r="AA22" s="16"/>
      <c r="AB22" s="16"/>
      <c r="AC22" s="16"/>
      <c r="AD22" s="16"/>
      <c r="AE22" s="16"/>
      <c r="AF22" s="17"/>
      <c r="AG22" s="17"/>
      <c r="AH22" s="16"/>
      <c r="AI22" s="16"/>
      <c r="AJ22" s="16"/>
      <c r="AK22" s="16"/>
      <c r="AL22" s="16"/>
      <c r="AM22" s="17"/>
      <c r="AN22" s="17"/>
      <c r="AO22" s="16">
        <f t="shared" si="1"/>
        <v>0</v>
      </c>
      <c r="AP22" s="106" t="s">
        <v>46</v>
      </c>
      <c r="AQ22" s="45">
        <v>90</v>
      </c>
      <c r="AR22" s="19">
        <f t="shared" si="0"/>
        <v>72</v>
      </c>
    </row>
    <row r="23" spans="1:44" ht="18.75" hidden="1" customHeight="1">
      <c r="A23" s="82"/>
      <c r="B23" s="78"/>
      <c r="C23" s="80"/>
      <c r="D23" s="83"/>
      <c r="E23" s="24" t="s">
        <v>23</v>
      </c>
      <c r="F23" s="25"/>
      <c r="G23" s="25"/>
      <c r="H23" s="16"/>
      <c r="I23" s="16"/>
      <c r="J23" s="16"/>
      <c r="K23" s="109"/>
      <c r="L23" s="17"/>
      <c r="M23" s="16"/>
      <c r="N23" s="16"/>
      <c r="O23" s="16"/>
      <c r="P23" s="16"/>
      <c r="Q23" s="16"/>
      <c r="R23" s="17"/>
      <c r="S23" s="17"/>
      <c r="T23" s="16"/>
      <c r="U23" s="16"/>
      <c r="V23" s="16"/>
      <c r="W23" s="16"/>
      <c r="X23" s="16"/>
      <c r="Y23" s="17"/>
      <c r="Z23" s="17"/>
      <c r="AA23" s="16"/>
      <c r="AB23" s="16"/>
      <c r="AC23" s="16"/>
      <c r="AD23" s="16"/>
      <c r="AE23" s="16"/>
      <c r="AF23" s="17"/>
      <c r="AG23" s="17"/>
      <c r="AH23" s="16"/>
      <c r="AI23" s="16"/>
      <c r="AJ23" s="16"/>
      <c r="AK23" s="16"/>
      <c r="AL23" s="16"/>
      <c r="AM23" s="17"/>
      <c r="AN23" s="17"/>
      <c r="AO23" s="16">
        <f t="shared" si="1"/>
        <v>0</v>
      </c>
      <c r="AP23" s="89"/>
      <c r="AQ23" s="45"/>
      <c r="AR23" s="19" t="str">
        <f t="shared" si="0"/>
        <v/>
      </c>
    </row>
    <row r="24" spans="1:44" ht="18.75" hidden="1" customHeight="1">
      <c r="A24" s="83"/>
      <c r="B24" s="46" t="s">
        <v>50</v>
      </c>
      <c r="C24" s="46" t="s">
        <v>28</v>
      </c>
      <c r="D24" s="47" t="s">
        <v>53</v>
      </c>
      <c r="E24" s="24" t="s">
        <v>30</v>
      </c>
      <c r="F24" s="25"/>
      <c r="G24" s="25"/>
      <c r="H24" s="16"/>
      <c r="I24" s="16"/>
      <c r="J24" s="16"/>
      <c r="K24" s="109"/>
      <c r="L24" s="17"/>
      <c r="M24" s="16"/>
      <c r="N24" s="16"/>
      <c r="O24" s="16"/>
      <c r="P24" s="16"/>
      <c r="Q24" s="16"/>
      <c r="R24" s="17"/>
      <c r="S24" s="17"/>
      <c r="T24" s="16"/>
      <c r="U24" s="16"/>
      <c r="V24" s="16"/>
      <c r="W24" s="16"/>
      <c r="X24" s="16"/>
      <c r="Y24" s="17"/>
      <c r="Z24" s="17"/>
      <c r="AA24" s="16"/>
      <c r="AB24" s="16"/>
      <c r="AC24" s="16"/>
      <c r="AD24" s="16"/>
      <c r="AE24" s="16"/>
      <c r="AF24" s="17"/>
      <c r="AG24" s="17"/>
      <c r="AH24" s="16"/>
      <c r="AI24" s="16"/>
      <c r="AJ24" s="16"/>
      <c r="AK24" s="16"/>
      <c r="AL24" s="16"/>
      <c r="AM24" s="17"/>
      <c r="AN24" s="17"/>
      <c r="AO24" s="16">
        <f t="shared" si="1"/>
        <v>0</v>
      </c>
      <c r="AP24" s="16"/>
      <c r="AQ24" s="45"/>
      <c r="AR24" s="19" t="str">
        <f t="shared" si="0"/>
        <v/>
      </c>
    </row>
    <row r="25" spans="1:44" ht="18" hidden="1" customHeight="1">
      <c r="A25" s="84" t="s">
        <v>54</v>
      </c>
      <c r="B25" s="77" t="s">
        <v>55</v>
      </c>
      <c r="C25" s="90" t="s">
        <v>39</v>
      </c>
      <c r="D25" s="84" t="s">
        <v>56</v>
      </c>
      <c r="E25" s="24" t="s">
        <v>45</v>
      </c>
      <c r="F25" s="25"/>
      <c r="G25" s="25"/>
      <c r="H25" s="16"/>
      <c r="I25" s="16"/>
      <c r="J25" s="16"/>
      <c r="K25" s="109"/>
      <c r="L25" s="17"/>
      <c r="M25" s="16"/>
      <c r="N25" s="16"/>
      <c r="O25" s="16"/>
      <c r="P25" s="16"/>
      <c r="Q25" s="16"/>
      <c r="R25" s="17"/>
      <c r="S25" s="17"/>
      <c r="T25" s="16"/>
      <c r="U25" s="16"/>
      <c r="V25" s="16"/>
      <c r="W25" s="16"/>
      <c r="X25" s="16"/>
      <c r="Y25" s="17"/>
      <c r="Z25" s="17"/>
      <c r="AA25" s="16"/>
      <c r="AB25" s="16"/>
      <c r="AC25" s="16"/>
      <c r="AD25" s="16"/>
      <c r="AE25" s="16"/>
      <c r="AF25" s="17"/>
      <c r="AG25" s="17"/>
      <c r="AH25" s="16"/>
      <c r="AI25" s="16"/>
      <c r="AJ25" s="16"/>
      <c r="AK25" s="16"/>
      <c r="AL25" s="16"/>
      <c r="AM25" s="17"/>
      <c r="AN25" s="17"/>
      <c r="AO25" s="16">
        <f t="shared" si="1"/>
        <v>0</v>
      </c>
      <c r="AP25" s="106" t="s">
        <v>46</v>
      </c>
      <c r="AQ25" s="45">
        <v>90</v>
      </c>
      <c r="AR25" s="19">
        <f t="shared" si="0"/>
        <v>72</v>
      </c>
    </row>
    <row r="26" spans="1:44" ht="18.75" hidden="1" customHeight="1">
      <c r="A26" s="82"/>
      <c r="B26" s="78"/>
      <c r="C26" s="80"/>
      <c r="D26" s="83"/>
      <c r="E26" s="24" t="s">
        <v>23</v>
      </c>
      <c r="F26" s="25"/>
      <c r="G26" s="25"/>
      <c r="H26" s="16"/>
      <c r="I26" s="16"/>
      <c r="J26" s="16"/>
      <c r="K26" s="109"/>
      <c r="L26" s="17"/>
      <c r="M26" s="16"/>
      <c r="N26" s="16"/>
      <c r="O26" s="16"/>
      <c r="P26" s="16"/>
      <c r="Q26" s="16"/>
      <c r="R26" s="17"/>
      <c r="S26" s="17"/>
      <c r="T26" s="16"/>
      <c r="U26" s="16"/>
      <c r="V26" s="16"/>
      <c r="W26" s="16"/>
      <c r="X26" s="16"/>
      <c r="Y26" s="17"/>
      <c r="Z26" s="17"/>
      <c r="AA26" s="16"/>
      <c r="AB26" s="16"/>
      <c r="AC26" s="16"/>
      <c r="AD26" s="16"/>
      <c r="AE26" s="16"/>
      <c r="AF26" s="17"/>
      <c r="AG26" s="17"/>
      <c r="AH26" s="16"/>
      <c r="AI26" s="16"/>
      <c r="AJ26" s="16"/>
      <c r="AK26" s="16"/>
      <c r="AL26" s="16"/>
      <c r="AM26" s="17"/>
      <c r="AN26" s="17"/>
      <c r="AO26" s="16">
        <f t="shared" si="1"/>
        <v>0</v>
      </c>
      <c r="AP26" s="89"/>
      <c r="AQ26" s="45"/>
      <c r="AR26" s="19" t="str">
        <f t="shared" si="0"/>
        <v/>
      </c>
    </row>
    <row r="27" spans="1:44" ht="18.75" hidden="1" customHeight="1">
      <c r="A27" s="83"/>
      <c r="B27" s="46" t="s">
        <v>55</v>
      </c>
      <c r="C27" s="46" t="s">
        <v>28</v>
      </c>
      <c r="D27" s="47" t="s">
        <v>56</v>
      </c>
      <c r="E27" s="24" t="s">
        <v>51</v>
      </c>
      <c r="F27" s="25"/>
      <c r="G27" s="25"/>
      <c r="H27" s="16"/>
      <c r="I27" s="16"/>
      <c r="J27" s="16"/>
      <c r="K27" s="109"/>
      <c r="L27" s="17"/>
      <c r="M27" s="16"/>
      <c r="N27" s="16"/>
      <c r="O27" s="16"/>
      <c r="P27" s="16"/>
      <c r="Q27" s="16"/>
      <c r="R27" s="17"/>
      <c r="S27" s="17"/>
      <c r="T27" s="16"/>
      <c r="U27" s="16"/>
      <c r="V27" s="16"/>
      <c r="W27" s="16"/>
      <c r="X27" s="16"/>
      <c r="Y27" s="17"/>
      <c r="Z27" s="17"/>
      <c r="AA27" s="16"/>
      <c r="AB27" s="16"/>
      <c r="AC27" s="16"/>
      <c r="AD27" s="16"/>
      <c r="AE27" s="16"/>
      <c r="AF27" s="17"/>
      <c r="AG27" s="17"/>
      <c r="AH27" s="16"/>
      <c r="AI27" s="16"/>
      <c r="AJ27" s="16"/>
      <c r="AK27" s="16"/>
      <c r="AL27" s="16"/>
      <c r="AM27" s="17"/>
      <c r="AN27" s="17"/>
      <c r="AO27" s="16">
        <f t="shared" si="1"/>
        <v>0</v>
      </c>
      <c r="AP27" s="16"/>
      <c r="AQ27" s="45"/>
      <c r="AR27" s="19" t="str">
        <f t="shared" si="0"/>
        <v/>
      </c>
    </row>
    <row r="28" spans="1:44" ht="18" customHeight="1">
      <c r="A28" s="84" t="s">
        <v>57</v>
      </c>
      <c r="B28" s="46" t="s">
        <v>32</v>
      </c>
      <c r="C28" s="46" t="s">
        <v>142</v>
      </c>
      <c r="D28" s="16" t="s">
        <v>143</v>
      </c>
      <c r="E28" s="24" t="s">
        <v>45</v>
      </c>
      <c r="F28" s="25"/>
      <c r="G28" s="25"/>
      <c r="H28" s="16"/>
      <c r="I28" s="16"/>
      <c r="J28" s="16"/>
      <c r="K28" s="109"/>
      <c r="L28" s="17"/>
      <c r="M28" s="16"/>
      <c r="N28" s="16">
        <v>4</v>
      </c>
      <c r="O28" s="16"/>
      <c r="P28" s="16"/>
      <c r="Q28" s="16"/>
      <c r="R28" s="17"/>
      <c r="S28" s="17"/>
      <c r="T28" s="16"/>
      <c r="U28" s="16">
        <v>4</v>
      </c>
      <c r="V28" s="16"/>
      <c r="W28" s="16"/>
      <c r="X28" s="16"/>
      <c r="Y28" s="17"/>
      <c r="Z28" s="17"/>
      <c r="AA28" s="16"/>
      <c r="AB28" s="16">
        <v>4</v>
      </c>
      <c r="AC28" s="16"/>
      <c r="AD28" s="16"/>
      <c r="AE28" s="16"/>
      <c r="AF28" s="17"/>
      <c r="AG28" s="17"/>
      <c r="AH28" s="16"/>
      <c r="AI28" s="16">
        <v>4</v>
      </c>
      <c r="AJ28" s="16"/>
      <c r="AK28" s="16"/>
      <c r="AL28" s="16"/>
      <c r="AM28" s="17"/>
      <c r="AN28" s="17"/>
      <c r="AO28" s="16">
        <f t="shared" si="1"/>
        <v>16</v>
      </c>
      <c r="AP28" s="54" t="s">
        <v>144</v>
      </c>
      <c r="AQ28" s="39">
        <v>45</v>
      </c>
      <c r="AR28" s="19">
        <f t="shared" si="0"/>
        <v>36</v>
      </c>
    </row>
    <row r="29" spans="1:44" ht="18" customHeight="1">
      <c r="A29" s="82"/>
      <c r="B29" s="46" t="s">
        <v>32</v>
      </c>
      <c r="C29" s="46" t="s">
        <v>145</v>
      </c>
      <c r="D29" s="16" t="s">
        <v>146</v>
      </c>
      <c r="E29" s="24" t="s">
        <v>23</v>
      </c>
      <c r="F29" s="25"/>
      <c r="G29" s="25"/>
      <c r="H29" s="16"/>
      <c r="I29" s="16"/>
      <c r="J29" s="16">
        <v>4</v>
      </c>
      <c r="K29" s="109"/>
      <c r="L29" s="17"/>
      <c r="M29" s="16"/>
      <c r="N29" s="16"/>
      <c r="O29" s="16"/>
      <c r="P29" s="16">
        <v>4</v>
      </c>
      <c r="Q29" s="16"/>
      <c r="R29" s="17"/>
      <c r="S29" s="17"/>
      <c r="T29" s="16"/>
      <c r="U29" s="16"/>
      <c r="V29" s="16"/>
      <c r="W29" s="16">
        <v>4</v>
      </c>
      <c r="X29" s="16"/>
      <c r="Y29" s="17"/>
      <c r="Z29" s="17"/>
      <c r="AA29" s="16"/>
      <c r="AB29" s="16"/>
      <c r="AC29" s="16"/>
      <c r="AD29" s="16">
        <v>4</v>
      </c>
      <c r="AE29" s="16"/>
      <c r="AF29" s="17"/>
      <c r="AG29" s="17"/>
      <c r="AH29" s="16"/>
      <c r="AI29" s="16"/>
      <c r="AJ29" s="16"/>
      <c r="AK29" s="16">
        <v>4</v>
      </c>
      <c r="AL29" s="16"/>
      <c r="AM29" s="17"/>
      <c r="AN29" s="17"/>
      <c r="AO29" s="16">
        <f t="shared" si="1"/>
        <v>20</v>
      </c>
      <c r="AP29" s="54" t="s">
        <v>147</v>
      </c>
      <c r="AQ29" s="39">
        <v>45</v>
      </c>
      <c r="AR29" s="19">
        <f t="shared" si="0"/>
        <v>36</v>
      </c>
    </row>
    <row r="30" spans="1:44" ht="31.5" hidden="1" customHeight="1">
      <c r="A30" s="82"/>
      <c r="B30" s="26" t="s">
        <v>32</v>
      </c>
      <c r="C30" s="49" t="s">
        <v>148</v>
      </c>
      <c r="D30" s="16" t="s">
        <v>146</v>
      </c>
      <c r="E30" s="24" t="s">
        <v>23</v>
      </c>
      <c r="F30" s="25"/>
      <c r="G30" s="25"/>
      <c r="H30" s="16"/>
      <c r="I30" s="16"/>
      <c r="J30" s="16"/>
      <c r="K30" s="109"/>
      <c r="L30" s="17"/>
      <c r="M30" s="16"/>
      <c r="N30" s="16"/>
      <c r="O30" s="16"/>
      <c r="P30" s="16"/>
      <c r="Q30" s="16"/>
      <c r="R30" s="17"/>
      <c r="S30" s="17"/>
      <c r="T30" s="16"/>
      <c r="U30" s="16"/>
      <c r="V30" s="16"/>
      <c r="W30" s="16"/>
      <c r="X30" s="16"/>
      <c r="Y30" s="17"/>
      <c r="Z30" s="17"/>
      <c r="AA30" s="16"/>
      <c r="AB30" s="16"/>
      <c r="AC30" s="16"/>
      <c r="AD30" s="16"/>
      <c r="AE30" s="16"/>
      <c r="AF30" s="17"/>
      <c r="AG30" s="17"/>
      <c r="AH30" s="16"/>
      <c r="AI30" s="16"/>
      <c r="AJ30" s="16"/>
      <c r="AK30" s="16"/>
      <c r="AL30" s="16"/>
      <c r="AM30" s="17"/>
      <c r="AN30" s="17"/>
      <c r="AO30" s="16">
        <f t="shared" si="1"/>
        <v>0</v>
      </c>
      <c r="AP30" s="54" t="s">
        <v>66</v>
      </c>
      <c r="AQ30" s="39">
        <v>45</v>
      </c>
      <c r="AR30" s="19">
        <f t="shared" si="0"/>
        <v>36</v>
      </c>
    </row>
    <row r="31" spans="1:44" ht="18.75" customHeight="1">
      <c r="A31" s="82"/>
      <c r="B31" s="26" t="s">
        <v>123</v>
      </c>
      <c r="C31" s="27" t="s">
        <v>149</v>
      </c>
      <c r="D31" s="16" t="s">
        <v>68</v>
      </c>
      <c r="E31" s="24" t="s">
        <v>45</v>
      </c>
      <c r="F31" s="25"/>
      <c r="G31" s="25"/>
      <c r="H31" s="16"/>
      <c r="I31" s="16"/>
      <c r="J31" s="16">
        <v>4</v>
      </c>
      <c r="K31" s="109"/>
      <c r="L31" s="17"/>
      <c r="M31" s="16">
        <v>4</v>
      </c>
      <c r="N31" s="16"/>
      <c r="O31" s="16">
        <v>4</v>
      </c>
      <c r="P31" s="16">
        <v>4</v>
      </c>
      <c r="Q31" s="16">
        <v>4</v>
      </c>
      <c r="R31" s="17"/>
      <c r="S31" s="17"/>
      <c r="T31" s="16">
        <v>4</v>
      </c>
      <c r="U31" s="16"/>
      <c r="V31" s="16">
        <v>4</v>
      </c>
      <c r="W31" s="16">
        <v>4</v>
      </c>
      <c r="X31" s="16"/>
      <c r="Y31" s="17"/>
      <c r="Z31" s="17"/>
      <c r="AA31" s="16">
        <v>4</v>
      </c>
      <c r="AB31" s="16"/>
      <c r="AC31" s="16">
        <v>4</v>
      </c>
      <c r="AD31" s="16">
        <v>4</v>
      </c>
      <c r="AE31" s="16"/>
      <c r="AF31" s="17"/>
      <c r="AG31" s="17"/>
      <c r="AH31" s="16">
        <v>4</v>
      </c>
      <c r="AI31" s="16"/>
      <c r="AJ31" s="16">
        <v>4</v>
      </c>
      <c r="AK31" s="16">
        <v>4</v>
      </c>
      <c r="AL31" s="16"/>
      <c r="AM31" s="17"/>
      <c r="AN31" s="17"/>
      <c r="AO31" s="16">
        <f t="shared" si="1"/>
        <v>56</v>
      </c>
      <c r="AP31" s="54" t="s">
        <v>150</v>
      </c>
      <c r="AQ31" s="39">
        <v>90</v>
      </c>
      <c r="AR31" s="19">
        <f t="shared" si="0"/>
        <v>72</v>
      </c>
    </row>
    <row r="32" spans="1:44">
      <c r="A32" s="83"/>
      <c r="B32" s="26" t="s">
        <v>24</v>
      </c>
      <c r="C32" s="26" t="s">
        <v>28</v>
      </c>
      <c r="D32" s="16" t="s">
        <v>68</v>
      </c>
      <c r="E32" s="24" t="s">
        <v>76</v>
      </c>
      <c r="F32" s="50"/>
      <c r="G32" s="50"/>
      <c r="H32" s="16"/>
      <c r="I32" s="16"/>
      <c r="J32" s="16"/>
      <c r="K32" s="109"/>
      <c r="L32" s="17"/>
      <c r="M32" s="16">
        <v>1</v>
      </c>
      <c r="N32" s="16"/>
      <c r="O32" s="16"/>
      <c r="P32" s="16"/>
      <c r="Q32" s="16"/>
      <c r="R32" s="17"/>
      <c r="S32" s="17"/>
      <c r="T32" s="16">
        <v>1</v>
      </c>
      <c r="U32" s="16"/>
      <c r="V32" s="16"/>
      <c r="W32" s="16"/>
      <c r="X32" s="16"/>
      <c r="Y32" s="17"/>
      <c r="Z32" s="17"/>
      <c r="AA32" s="16">
        <v>1</v>
      </c>
      <c r="AB32" s="16"/>
      <c r="AC32" s="16"/>
      <c r="AD32" s="16"/>
      <c r="AE32" s="16"/>
      <c r="AF32" s="17"/>
      <c r="AG32" s="17"/>
      <c r="AH32" s="16">
        <v>1</v>
      </c>
      <c r="AI32" s="16"/>
      <c r="AJ32" s="16"/>
      <c r="AK32" s="16"/>
      <c r="AL32" s="16"/>
      <c r="AM32" s="17"/>
      <c r="AN32" s="17"/>
      <c r="AO32" s="16">
        <f t="shared" si="1"/>
        <v>4</v>
      </c>
      <c r="AP32" s="16"/>
      <c r="AR32" s="19" t="str">
        <f t="shared" si="0"/>
        <v/>
      </c>
    </row>
    <row r="33" spans="1:44" ht="18.75" customHeight="1">
      <c r="A33" s="84" t="s">
        <v>70</v>
      </c>
      <c r="B33" s="26" t="s">
        <v>32</v>
      </c>
      <c r="C33" s="26" t="s">
        <v>142</v>
      </c>
      <c r="D33" s="16" t="s">
        <v>143</v>
      </c>
      <c r="E33" s="24" t="s">
        <v>45</v>
      </c>
      <c r="F33" s="25"/>
      <c r="G33" s="25"/>
      <c r="H33" s="16"/>
      <c r="I33" s="16"/>
      <c r="J33" s="16"/>
      <c r="K33" s="109"/>
      <c r="L33" s="17"/>
      <c r="M33" s="16"/>
      <c r="N33" s="16">
        <v>4</v>
      </c>
      <c r="O33" s="16"/>
      <c r="P33" s="16"/>
      <c r="Q33" s="16"/>
      <c r="R33" s="17"/>
      <c r="S33" s="17"/>
      <c r="T33" s="16"/>
      <c r="U33" s="16">
        <v>4</v>
      </c>
      <c r="V33" s="16"/>
      <c r="W33" s="16"/>
      <c r="X33" s="16"/>
      <c r="Y33" s="17"/>
      <c r="Z33" s="17"/>
      <c r="AA33" s="16"/>
      <c r="AB33" s="16">
        <v>4</v>
      </c>
      <c r="AC33" s="16"/>
      <c r="AD33" s="16"/>
      <c r="AE33" s="16"/>
      <c r="AF33" s="17"/>
      <c r="AG33" s="17"/>
      <c r="AH33" s="16"/>
      <c r="AI33" s="16">
        <v>4</v>
      </c>
      <c r="AJ33" s="16"/>
      <c r="AK33" s="16"/>
      <c r="AL33" s="16"/>
      <c r="AM33" s="17"/>
      <c r="AN33" s="17"/>
      <c r="AO33" s="16">
        <f t="shared" si="1"/>
        <v>16</v>
      </c>
      <c r="AP33" s="51" t="s">
        <v>144</v>
      </c>
      <c r="AQ33" s="39">
        <v>45</v>
      </c>
      <c r="AR33" s="19">
        <f t="shared" si="0"/>
        <v>36</v>
      </c>
    </row>
    <row r="34" spans="1:44" hidden="1">
      <c r="A34" s="82"/>
      <c r="B34" s="26" t="s">
        <v>32</v>
      </c>
      <c r="C34" s="49" t="s">
        <v>151</v>
      </c>
      <c r="D34" s="16" t="s">
        <v>146</v>
      </c>
      <c r="E34" s="24" t="s">
        <v>45</v>
      </c>
      <c r="F34" s="25"/>
      <c r="G34" s="25"/>
      <c r="H34" s="16"/>
      <c r="I34" s="16"/>
      <c r="J34" s="16"/>
      <c r="K34" s="109"/>
      <c r="L34" s="17"/>
      <c r="M34" s="16"/>
      <c r="N34" s="16"/>
      <c r="O34" s="16"/>
      <c r="P34" s="16"/>
      <c r="Q34" s="16"/>
      <c r="R34" s="17"/>
      <c r="S34" s="17"/>
      <c r="T34" s="16"/>
      <c r="U34" s="16"/>
      <c r="V34" s="16"/>
      <c r="W34" s="16"/>
      <c r="X34" s="16"/>
      <c r="Y34" s="17"/>
      <c r="Z34" s="17"/>
      <c r="AA34" s="16"/>
      <c r="AB34" s="16"/>
      <c r="AC34" s="16"/>
      <c r="AD34" s="16"/>
      <c r="AE34" s="16"/>
      <c r="AF34" s="17"/>
      <c r="AG34" s="17"/>
      <c r="AH34" s="16"/>
      <c r="AI34" s="16"/>
      <c r="AJ34" s="16"/>
      <c r="AK34" s="16"/>
      <c r="AL34" s="16"/>
      <c r="AM34" s="17"/>
      <c r="AN34" s="17"/>
      <c r="AO34" s="16">
        <f t="shared" si="1"/>
        <v>0</v>
      </c>
      <c r="AP34" s="51" t="s">
        <v>66</v>
      </c>
      <c r="AQ34" s="39">
        <v>60</v>
      </c>
      <c r="AR34" s="19">
        <f t="shared" si="0"/>
        <v>48</v>
      </c>
    </row>
    <row r="35" spans="1:44">
      <c r="A35" s="82"/>
      <c r="B35" s="26" t="s">
        <v>123</v>
      </c>
      <c r="C35" s="49" t="s">
        <v>152</v>
      </c>
      <c r="D35" s="16" t="s">
        <v>68</v>
      </c>
      <c r="E35" s="24" t="s">
        <v>45</v>
      </c>
      <c r="F35" s="25"/>
      <c r="G35" s="25"/>
      <c r="H35" s="16"/>
      <c r="I35" s="16"/>
      <c r="J35" s="16">
        <v>4</v>
      </c>
      <c r="K35" s="109"/>
      <c r="L35" s="17"/>
      <c r="M35" s="16">
        <v>4</v>
      </c>
      <c r="N35" s="16"/>
      <c r="O35" s="16">
        <v>4</v>
      </c>
      <c r="P35" s="16">
        <v>4</v>
      </c>
      <c r="Q35" s="16">
        <v>4</v>
      </c>
      <c r="R35" s="17"/>
      <c r="S35" s="17"/>
      <c r="T35" s="16">
        <v>4</v>
      </c>
      <c r="U35" s="16"/>
      <c r="V35" s="16">
        <v>4</v>
      </c>
      <c r="W35" s="16">
        <v>4</v>
      </c>
      <c r="X35" s="16"/>
      <c r="Y35" s="17"/>
      <c r="Z35" s="17"/>
      <c r="AA35" s="16">
        <v>4</v>
      </c>
      <c r="AB35" s="16"/>
      <c r="AC35" s="16">
        <v>4</v>
      </c>
      <c r="AD35" s="16">
        <v>4</v>
      </c>
      <c r="AE35" s="16"/>
      <c r="AF35" s="17"/>
      <c r="AG35" s="17"/>
      <c r="AH35" s="16">
        <v>4</v>
      </c>
      <c r="AI35" s="16"/>
      <c r="AJ35" s="16">
        <v>4</v>
      </c>
      <c r="AK35" s="16">
        <v>4</v>
      </c>
      <c r="AL35" s="16"/>
      <c r="AM35" s="17"/>
      <c r="AN35" s="17"/>
      <c r="AO35" s="16">
        <f t="shared" si="1"/>
        <v>56</v>
      </c>
      <c r="AP35" s="51" t="s">
        <v>150</v>
      </c>
      <c r="AQ35" s="39">
        <v>90</v>
      </c>
      <c r="AR35" s="19">
        <f t="shared" si="0"/>
        <v>72</v>
      </c>
    </row>
    <row r="36" spans="1:44">
      <c r="A36" s="83"/>
      <c r="B36" s="46" t="s">
        <v>42</v>
      </c>
      <c r="C36" s="46" t="s">
        <v>28</v>
      </c>
      <c r="D36" s="16" t="s">
        <v>68</v>
      </c>
      <c r="E36" s="24" t="s">
        <v>76</v>
      </c>
      <c r="F36" s="25"/>
      <c r="G36" s="25"/>
      <c r="H36" s="16"/>
      <c r="I36" s="16"/>
      <c r="J36" s="16"/>
      <c r="K36" s="109"/>
      <c r="L36" s="17"/>
      <c r="M36" s="16">
        <v>1</v>
      </c>
      <c r="N36" s="16"/>
      <c r="O36" s="16"/>
      <c r="P36" s="16"/>
      <c r="Q36" s="16"/>
      <c r="R36" s="17"/>
      <c r="S36" s="17"/>
      <c r="T36" s="16">
        <v>1</v>
      </c>
      <c r="U36" s="16"/>
      <c r="V36" s="16"/>
      <c r="W36" s="16"/>
      <c r="X36" s="16"/>
      <c r="Y36" s="17"/>
      <c r="Z36" s="17"/>
      <c r="AA36" s="16">
        <v>1</v>
      </c>
      <c r="AB36" s="16"/>
      <c r="AC36" s="16"/>
      <c r="AD36" s="16"/>
      <c r="AE36" s="16"/>
      <c r="AF36" s="17"/>
      <c r="AG36" s="17"/>
      <c r="AH36" s="16">
        <v>1</v>
      </c>
      <c r="AI36" s="16"/>
      <c r="AJ36" s="16"/>
      <c r="AK36" s="16"/>
      <c r="AL36" s="16"/>
      <c r="AM36" s="17"/>
      <c r="AN36" s="17"/>
      <c r="AO36" s="16">
        <f t="shared" si="1"/>
        <v>4</v>
      </c>
      <c r="AP36" s="16"/>
      <c r="AR36" s="19" t="str">
        <f t="shared" si="0"/>
        <v/>
      </c>
    </row>
    <row r="37" spans="1:44">
      <c r="A37" s="75" t="s">
        <v>77</v>
      </c>
      <c r="B37" s="26" t="s">
        <v>32</v>
      </c>
      <c r="C37" s="26" t="s">
        <v>142</v>
      </c>
      <c r="D37" s="16" t="s">
        <v>71</v>
      </c>
      <c r="E37" s="28" t="s">
        <v>45</v>
      </c>
      <c r="F37" s="25"/>
      <c r="G37" s="25"/>
      <c r="H37" s="16"/>
      <c r="I37" s="16"/>
      <c r="J37" s="16">
        <v>4</v>
      </c>
      <c r="K37" s="109"/>
      <c r="L37" s="17"/>
      <c r="M37" s="16"/>
      <c r="N37" s="16"/>
      <c r="O37" s="16">
        <v>4</v>
      </c>
      <c r="P37" s="16"/>
      <c r="Q37" s="16"/>
      <c r="R37" s="17"/>
      <c r="S37" s="17"/>
      <c r="T37" s="16"/>
      <c r="U37" s="16"/>
      <c r="V37" s="16">
        <v>4</v>
      </c>
      <c r="W37" s="16"/>
      <c r="X37" s="16"/>
      <c r="Y37" s="17"/>
      <c r="Z37" s="17"/>
      <c r="AA37" s="16"/>
      <c r="AB37" s="16"/>
      <c r="AC37" s="16">
        <v>4</v>
      </c>
      <c r="AD37" s="16"/>
      <c r="AE37" s="16"/>
      <c r="AF37" s="17"/>
      <c r="AG37" s="17"/>
      <c r="AH37" s="16"/>
      <c r="AI37" s="16"/>
      <c r="AJ37" s="16">
        <v>4</v>
      </c>
      <c r="AK37" s="16"/>
      <c r="AL37" s="16"/>
      <c r="AM37" s="17"/>
      <c r="AN37" s="17"/>
      <c r="AO37" s="16">
        <f t="shared" si="1"/>
        <v>20</v>
      </c>
      <c r="AP37" s="51" t="s">
        <v>147</v>
      </c>
      <c r="AQ37" s="39">
        <v>45</v>
      </c>
      <c r="AR37" s="19">
        <f t="shared" si="0"/>
        <v>36</v>
      </c>
    </row>
    <row r="38" spans="1:44" hidden="1">
      <c r="A38" s="75"/>
      <c r="B38" s="26" t="s">
        <v>32</v>
      </c>
      <c r="C38" s="49" t="s">
        <v>151</v>
      </c>
      <c r="D38" s="16" t="s">
        <v>146</v>
      </c>
      <c r="E38" s="24" t="s">
        <v>45</v>
      </c>
      <c r="F38" s="25"/>
      <c r="G38" s="25"/>
      <c r="H38" s="16"/>
      <c r="I38" s="16"/>
      <c r="J38" s="16"/>
      <c r="K38" s="109"/>
      <c r="L38" s="17"/>
      <c r="M38" s="16"/>
      <c r="N38" s="16"/>
      <c r="O38" s="16"/>
      <c r="P38" s="16"/>
      <c r="Q38" s="16"/>
      <c r="R38" s="17"/>
      <c r="S38" s="17"/>
      <c r="T38" s="16"/>
      <c r="U38" s="16"/>
      <c r="V38" s="16"/>
      <c r="W38" s="16"/>
      <c r="X38" s="16"/>
      <c r="Y38" s="17"/>
      <c r="Z38" s="17"/>
      <c r="AA38" s="16"/>
      <c r="AB38" s="16"/>
      <c r="AC38" s="16"/>
      <c r="AD38" s="16"/>
      <c r="AE38" s="16"/>
      <c r="AF38" s="17"/>
      <c r="AG38" s="17"/>
      <c r="AH38" s="16"/>
      <c r="AI38" s="16"/>
      <c r="AJ38" s="16"/>
      <c r="AK38" s="16"/>
      <c r="AL38" s="16"/>
      <c r="AM38" s="17"/>
      <c r="AN38" s="17"/>
      <c r="AO38" s="16">
        <f t="shared" si="1"/>
        <v>0</v>
      </c>
      <c r="AP38" s="51" t="s">
        <v>66</v>
      </c>
      <c r="AQ38" s="45">
        <v>60</v>
      </c>
      <c r="AR38" s="19">
        <f t="shared" si="0"/>
        <v>48</v>
      </c>
    </row>
    <row r="39" spans="1:44">
      <c r="A39" s="75"/>
      <c r="B39" s="26" t="s">
        <v>38</v>
      </c>
      <c r="C39" s="49" t="s">
        <v>152</v>
      </c>
      <c r="D39" s="16" t="s">
        <v>153</v>
      </c>
      <c r="E39" s="24" t="s">
        <v>45</v>
      </c>
      <c r="F39" s="25"/>
      <c r="G39" s="25"/>
      <c r="H39" s="16"/>
      <c r="I39" s="16"/>
      <c r="J39" s="16"/>
      <c r="K39" s="109"/>
      <c r="L39" s="17"/>
      <c r="M39" s="16">
        <v>4</v>
      </c>
      <c r="N39" s="16">
        <v>4</v>
      </c>
      <c r="O39" s="16"/>
      <c r="P39" s="16">
        <v>4</v>
      </c>
      <c r="Q39" s="16">
        <v>4</v>
      </c>
      <c r="R39" s="17"/>
      <c r="S39" s="17"/>
      <c r="T39" s="16">
        <v>4</v>
      </c>
      <c r="U39" s="16">
        <v>4</v>
      </c>
      <c r="V39" s="16"/>
      <c r="W39" s="16">
        <v>4</v>
      </c>
      <c r="X39" s="16"/>
      <c r="Y39" s="17"/>
      <c r="Z39" s="17"/>
      <c r="AA39" s="16">
        <v>4</v>
      </c>
      <c r="AB39" s="16">
        <v>4</v>
      </c>
      <c r="AC39" s="16"/>
      <c r="AD39" s="16">
        <v>4</v>
      </c>
      <c r="AE39" s="16"/>
      <c r="AF39" s="17"/>
      <c r="AG39" s="17"/>
      <c r="AH39" s="16">
        <v>4</v>
      </c>
      <c r="AI39" s="16">
        <v>4</v>
      </c>
      <c r="AJ39" s="16"/>
      <c r="AK39" s="16">
        <v>4</v>
      </c>
      <c r="AL39" s="16"/>
      <c r="AM39" s="17"/>
      <c r="AN39" s="17"/>
      <c r="AO39" s="16">
        <f t="shared" si="1"/>
        <v>52</v>
      </c>
      <c r="AP39" s="51" t="s">
        <v>154</v>
      </c>
      <c r="AQ39" s="45">
        <v>90</v>
      </c>
      <c r="AR39" s="19">
        <f t="shared" si="0"/>
        <v>72</v>
      </c>
    </row>
    <row r="40" spans="1:44">
      <c r="A40" s="75"/>
      <c r="B40" s="46" t="s">
        <v>38</v>
      </c>
      <c r="C40" s="46" t="s">
        <v>28</v>
      </c>
      <c r="D40" s="16" t="s">
        <v>153</v>
      </c>
      <c r="E40" s="24" t="s">
        <v>76</v>
      </c>
      <c r="F40" s="25"/>
      <c r="G40" s="25"/>
      <c r="H40" s="16"/>
      <c r="I40" s="16"/>
      <c r="J40" s="16"/>
      <c r="K40" s="109"/>
      <c r="L40" s="17"/>
      <c r="M40" s="16">
        <v>1</v>
      </c>
      <c r="N40" s="16"/>
      <c r="O40" s="16"/>
      <c r="P40" s="16"/>
      <c r="Q40" s="16"/>
      <c r="R40" s="17"/>
      <c r="S40" s="17"/>
      <c r="T40" s="16">
        <v>1</v>
      </c>
      <c r="U40" s="16"/>
      <c r="V40" s="16"/>
      <c r="W40" s="16"/>
      <c r="X40" s="16"/>
      <c r="Y40" s="17"/>
      <c r="Z40" s="17"/>
      <c r="AA40" s="16">
        <v>1</v>
      </c>
      <c r="AB40" s="16"/>
      <c r="AC40" s="16"/>
      <c r="AD40" s="16"/>
      <c r="AE40" s="16"/>
      <c r="AF40" s="17"/>
      <c r="AG40" s="17"/>
      <c r="AH40" s="16">
        <v>1</v>
      </c>
      <c r="AI40" s="16"/>
      <c r="AJ40" s="16"/>
      <c r="AK40" s="16"/>
      <c r="AL40" s="16"/>
      <c r="AM40" s="17"/>
      <c r="AN40" s="17"/>
      <c r="AO40" s="16">
        <f t="shared" si="1"/>
        <v>4</v>
      </c>
      <c r="AP40" s="16"/>
      <c r="AR40" s="19" t="str">
        <f t="shared" si="0"/>
        <v/>
      </c>
    </row>
    <row r="41" spans="1:44" ht="18.75" customHeight="1">
      <c r="A41" s="84" t="s">
        <v>79</v>
      </c>
      <c r="B41" s="26" t="s">
        <v>55</v>
      </c>
      <c r="C41" s="27" t="s">
        <v>155</v>
      </c>
      <c r="D41" s="16" t="s">
        <v>84</v>
      </c>
      <c r="E41" s="24" t="s">
        <v>45</v>
      </c>
      <c r="F41" s="25"/>
      <c r="G41" s="25"/>
      <c r="H41" s="16"/>
      <c r="I41" s="16"/>
      <c r="J41" s="16"/>
      <c r="K41" s="109"/>
      <c r="L41" s="17"/>
      <c r="M41" s="16">
        <v>4</v>
      </c>
      <c r="N41" s="16"/>
      <c r="O41" s="16"/>
      <c r="P41" s="16"/>
      <c r="Q41" s="16">
        <v>4</v>
      </c>
      <c r="R41" s="17"/>
      <c r="S41" s="17"/>
      <c r="T41" s="16">
        <v>4</v>
      </c>
      <c r="U41" s="16"/>
      <c r="V41" s="16"/>
      <c r="W41" s="16"/>
      <c r="X41" s="16">
        <v>4</v>
      </c>
      <c r="Y41" s="17"/>
      <c r="Z41" s="17"/>
      <c r="AA41" s="16">
        <v>4</v>
      </c>
      <c r="AB41" s="16"/>
      <c r="AC41" s="16"/>
      <c r="AD41" s="16"/>
      <c r="AE41" s="16">
        <v>4</v>
      </c>
      <c r="AF41" s="17"/>
      <c r="AG41" s="17"/>
      <c r="AH41" s="16">
        <v>4</v>
      </c>
      <c r="AI41" s="16"/>
      <c r="AJ41" s="16"/>
      <c r="AK41" s="16"/>
      <c r="AL41" s="16">
        <v>4</v>
      </c>
      <c r="AM41" s="17"/>
      <c r="AN41" s="17"/>
      <c r="AO41" s="16">
        <f t="shared" si="1"/>
        <v>32</v>
      </c>
      <c r="AP41" s="51" t="s">
        <v>156</v>
      </c>
      <c r="AQ41" s="39">
        <v>90</v>
      </c>
      <c r="AR41" s="19">
        <f t="shared" si="0"/>
        <v>72</v>
      </c>
    </row>
    <row r="42" spans="1:44" ht="33" customHeight="1">
      <c r="A42" s="82"/>
      <c r="B42" s="13" t="s">
        <v>87</v>
      </c>
      <c r="C42" s="14" t="s">
        <v>157</v>
      </c>
      <c r="D42" s="18" t="s">
        <v>84</v>
      </c>
      <c r="E42" s="28" t="s">
        <v>45</v>
      </c>
      <c r="F42" s="25"/>
      <c r="G42" s="25"/>
      <c r="H42" s="16"/>
      <c r="I42" s="16"/>
      <c r="J42" s="16">
        <v>4</v>
      </c>
      <c r="K42" s="109"/>
      <c r="L42" s="17"/>
      <c r="M42" s="16"/>
      <c r="N42" s="16">
        <v>4</v>
      </c>
      <c r="O42" s="16">
        <v>4</v>
      </c>
      <c r="P42" s="16">
        <v>4</v>
      </c>
      <c r="Q42" s="16"/>
      <c r="R42" s="17"/>
      <c r="S42" s="17"/>
      <c r="T42" s="16"/>
      <c r="U42" s="16">
        <v>4</v>
      </c>
      <c r="V42" s="16">
        <v>4</v>
      </c>
      <c r="W42" s="16">
        <v>4</v>
      </c>
      <c r="X42" s="16"/>
      <c r="Y42" s="17"/>
      <c r="Z42" s="17"/>
      <c r="AA42" s="16"/>
      <c r="AB42" s="16">
        <v>4</v>
      </c>
      <c r="AC42" s="16">
        <v>4</v>
      </c>
      <c r="AD42" s="16">
        <v>4</v>
      </c>
      <c r="AE42" s="16"/>
      <c r="AF42" s="17"/>
      <c r="AG42" s="17"/>
      <c r="AH42" s="16"/>
      <c r="AI42" s="16">
        <v>4</v>
      </c>
      <c r="AJ42" s="16">
        <v>4</v>
      </c>
      <c r="AK42" s="16">
        <v>4</v>
      </c>
      <c r="AL42" s="16"/>
      <c r="AM42" s="17"/>
      <c r="AN42" s="17"/>
      <c r="AO42" s="16">
        <f t="shared" si="1"/>
        <v>52</v>
      </c>
      <c r="AP42" s="53" t="s">
        <v>158</v>
      </c>
      <c r="AQ42" s="45">
        <v>150</v>
      </c>
      <c r="AR42" s="19">
        <f t="shared" si="0"/>
        <v>120</v>
      </c>
    </row>
    <row r="43" spans="1:44">
      <c r="A43" s="83"/>
      <c r="B43" s="46" t="s">
        <v>87</v>
      </c>
      <c r="C43" s="46" t="s">
        <v>28</v>
      </c>
      <c r="D43" s="16" t="s">
        <v>84</v>
      </c>
      <c r="E43" s="24" t="s">
        <v>76</v>
      </c>
      <c r="F43" s="25"/>
      <c r="G43" s="25"/>
      <c r="H43" s="16"/>
      <c r="I43" s="16"/>
      <c r="J43" s="16"/>
      <c r="K43" s="110"/>
      <c r="L43" s="17"/>
      <c r="M43" s="16">
        <v>1</v>
      </c>
      <c r="N43" s="16"/>
      <c r="O43" s="16"/>
      <c r="P43" s="16"/>
      <c r="Q43" s="16"/>
      <c r="R43" s="17"/>
      <c r="S43" s="17"/>
      <c r="T43" s="16">
        <v>1</v>
      </c>
      <c r="U43" s="16"/>
      <c r="V43" s="16"/>
      <c r="W43" s="16"/>
      <c r="X43" s="16"/>
      <c r="Y43" s="17"/>
      <c r="Z43" s="17"/>
      <c r="AA43" s="16">
        <v>1</v>
      </c>
      <c r="AB43" s="16"/>
      <c r="AC43" s="16"/>
      <c r="AD43" s="16"/>
      <c r="AE43" s="16"/>
      <c r="AF43" s="17"/>
      <c r="AG43" s="17"/>
      <c r="AH43" s="16">
        <v>1</v>
      </c>
      <c r="AI43" s="16"/>
      <c r="AJ43" s="16"/>
      <c r="AK43" s="16"/>
      <c r="AL43" s="16"/>
      <c r="AM43" s="17"/>
      <c r="AN43" s="17"/>
      <c r="AO43" s="16">
        <f t="shared" si="1"/>
        <v>4</v>
      </c>
      <c r="AP43" s="16"/>
      <c r="AR43" s="19" t="str">
        <f t="shared" si="0"/>
        <v/>
      </c>
    </row>
    <row r="44" spans="1:44" hidden="1">
      <c r="A44" s="84" t="s">
        <v>88</v>
      </c>
      <c r="B44" s="41"/>
      <c r="C44" s="23"/>
      <c r="D44" s="84" t="s">
        <v>44</v>
      </c>
      <c r="E44" s="15"/>
      <c r="F44" s="15"/>
      <c r="G44" s="15"/>
      <c r="H44" s="16"/>
      <c r="I44" s="16"/>
      <c r="J44" s="16"/>
      <c r="K44" s="17"/>
      <c r="L44" s="17"/>
      <c r="M44" s="16"/>
      <c r="N44" s="16"/>
      <c r="O44" s="16"/>
      <c r="P44" s="16"/>
      <c r="Q44" s="16"/>
      <c r="R44" s="17"/>
      <c r="S44" s="17"/>
      <c r="T44" s="16"/>
      <c r="U44" s="16"/>
      <c r="V44" s="16"/>
      <c r="W44" s="16"/>
      <c r="X44" s="16"/>
      <c r="Y44" s="17"/>
      <c r="Z44" s="17"/>
      <c r="AA44" s="16"/>
      <c r="AB44" s="16"/>
      <c r="AC44" s="16"/>
      <c r="AD44" s="16"/>
      <c r="AE44" s="16"/>
      <c r="AF44" s="17"/>
      <c r="AG44" s="17"/>
      <c r="AH44" s="16"/>
      <c r="AI44" s="16"/>
      <c r="AJ44" s="16"/>
      <c r="AK44" s="16"/>
      <c r="AL44" s="16"/>
      <c r="AM44" s="17"/>
      <c r="AN44" s="17"/>
      <c r="AO44" s="16">
        <f t="shared" si="1"/>
        <v>0</v>
      </c>
      <c r="AP44" s="51" t="s">
        <v>66</v>
      </c>
      <c r="AQ44" s="39">
        <v>30</v>
      </c>
      <c r="AR44" s="19">
        <f t="shared" si="0"/>
        <v>24</v>
      </c>
    </row>
    <row r="45" spans="1:44" ht="18.75" customHeight="1">
      <c r="A45" s="82"/>
      <c r="B45" s="77" t="s">
        <v>20</v>
      </c>
      <c r="C45" s="90" t="s">
        <v>152</v>
      </c>
      <c r="D45" s="82"/>
      <c r="E45" s="15" t="s">
        <v>45</v>
      </c>
      <c r="F45" s="15"/>
      <c r="G45" s="15"/>
      <c r="H45" s="16"/>
      <c r="I45" s="16"/>
      <c r="J45" s="16"/>
      <c r="K45" s="17"/>
      <c r="L45" s="17"/>
      <c r="M45" s="16"/>
      <c r="N45" s="16"/>
      <c r="O45" s="16"/>
      <c r="P45" s="16"/>
      <c r="Q45" s="16"/>
      <c r="R45" s="17"/>
      <c r="S45" s="17"/>
      <c r="T45" s="16"/>
      <c r="U45" s="16"/>
      <c r="V45" s="16"/>
      <c r="W45" s="16"/>
      <c r="X45" s="16"/>
      <c r="Y45" s="17">
        <v>4</v>
      </c>
      <c r="Z45" s="17"/>
      <c r="AA45" s="16"/>
      <c r="AB45" s="16"/>
      <c r="AC45" s="16"/>
      <c r="AD45" s="16"/>
      <c r="AE45" s="16"/>
      <c r="AF45" s="17">
        <v>4</v>
      </c>
      <c r="AG45" s="17"/>
      <c r="AH45" s="16"/>
      <c r="AI45" s="16"/>
      <c r="AJ45" s="16"/>
      <c r="AK45" s="16"/>
      <c r="AL45" s="16"/>
      <c r="AM45" s="17">
        <v>4</v>
      </c>
      <c r="AN45" s="17"/>
      <c r="AO45" s="16">
        <f t="shared" si="1"/>
        <v>12</v>
      </c>
      <c r="AP45" s="105" t="s">
        <v>159</v>
      </c>
      <c r="AQ45">
        <v>90</v>
      </c>
      <c r="AR45" s="19">
        <f t="shared" si="0"/>
        <v>72</v>
      </c>
    </row>
    <row r="46" spans="1:44" ht="18.75" customHeight="1">
      <c r="A46" s="82"/>
      <c r="B46" s="78"/>
      <c r="C46" s="80"/>
      <c r="D46" s="82"/>
      <c r="E46" s="15" t="s">
        <v>23</v>
      </c>
      <c r="F46" s="15"/>
      <c r="G46" s="15"/>
      <c r="H46" s="16"/>
      <c r="I46" s="16"/>
      <c r="J46" s="16"/>
      <c r="K46" s="17"/>
      <c r="L46" s="17"/>
      <c r="M46" s="16"/>
      <c r="N46" s="16"/>
      <c r="O46" s="16"/>
      <c r="P46" s="16"/>
      <c r="Q46" s="16"/>
      <c r="R46" s="17"/>
      <c r="S46" s="17"/>
      <c r="T46" s="16"/>
      <c r="U46" s="16"/>
      <c r="V46" s="16"/>
      <c r="W46" s="16"/>
      <c r="X46" s="16"/>
      <c r="Y46" s="17">
        <v>4</v>
      </c>
      <c r="Z46" s="17"/>
      <c r="AA46" s="16"/>
      <c r="AB46" s="16"/>
      <c r="AC46" s="16"/>
      <c r="AD46" s="16"/>
      <c r="AE46" s="16"/>
      <c r="AF46" s="17">
        <v>4</v>
      </c>
      <c r="AG46" s="17"/>
      <c r="AH46" s="16"/>
      <c r="AI46" s="16"/>
      <c r="AJ46" s="16"/>
      <c r="AK46" s="16"/>
      <c r="AL46" s="16"/>
      <c r="AM46" s="17">
        <v>4</v>
      </c>
      <c r="AN46" s="17"/>
      <c r="AO46" s="16">
        <f t="shared" si="1"/>
        <v>12</v>
      </c>
      <c r="AP46" s="88"/>
      <c r="AR46" s="19" t="str">
        <f t="shared" si="0"/>
        <v/>
      </c>
    </row>
    <row r="47" spans="1:44">
      <c r="A47" s="83"/>
      <c r="B47" s="22" t="s">
        <v>50</v>
      </c>
      <c r="C47" s="23" t="s">
        <v>28</v>
      </c>
      <c r="D47" s="83"/>
      <c r="E47" s="24" t="s">
        <v>30</v>
      </c>
      <c r="F47" s="25"/>
      <c r="G47" s="25"/>
      <c r="H47" s="16"/>
      <c r="I47" s="16"/>
      <c r="J47" s="16"/>
      <c r="K47" s="17"/>
      <c r="L47" s="17"/>
      <c r="M47" s="16"/>
      <c r="N47" s="16"/>
      <c r="O47" s="16"/>
      <c r="P47" s="16"/>
      <c r="Q47" s="16"/>
      <c r="R47" s="17"/>
      <c r="S47" s="17"/>
      <c r="T47" s="16"/>
      <c r="U47" s="16"/>
      <c r="V47" s="16"/>
      <c r="W47" s="16"/>
      <c r="X47" s="16"/>
      <c r="Y47" s="17">
        <v>1</v>
      </c>
      <c r="Z47" s="17"/>
      <c r="AA47" s="16"/>
      <c r="AB47" s="16"/>
      <c r="AC47" s="16"/>
      <c r="AD47" s="16"/>
      <c r="AE47" s="16"/>
      <c r="AF47" s="17"/>
      <c r="AG47" s="17"/>
      <c r="AH47" s="16"/>
      <c r="AI47" s="16"/>
      <c r="AJ47" s="16"/>
      <c r="AK47" s="16"/>
      <c r="AL47" s="16"/>
      <c r="AM47" s="17">
        <v>1</v>
      </c>
      <c r="AN47" s="17"/>
      <c r="AO47" s="16">
        <f t="shared" si="1"/>
        <v>2</v>
      </c>
      <c r="AP47" s="16"/>
      <c r="AR47" s="19" t="str">
        <f t="shared" si="0"/>
        <v/>
      </c>
    </row>
    <row r="48" spans="1:44">
      <c r="A48" s="84" t="s">
        <v>91</v>
      </c>
      <c r="B48" s="77" t="s">
        <v>36</v>
      </c>
      <c r="C48" s="90" t="s">
        <v>160</v>
      </c>
      <c r="D48" s="84" t="s">
        <v>44</v>
      </c>
      <c r="E48" s="15" t="s">
        <v>45</v>
      </c>
      <c r="F48" s="15"/>
      <c r="G48" s="15"/>
      <c r="H48" s="16"/>
      <c r="I48" s="16"/>
      <c r="J48" s="16"/>
      <c r="K48" s="17"/>
      <c r="L48" s="17"/>
      <c r="M48" s="16"/>
      <c r="N48" s="16"/>
      <c r="O48" s="16"/>
      <c r="P48" s="16"/>
      <c r="Q48" s="16"/>
      <c r="R48" s="17"/>
      <c r="S48" s="17"/>
      <c r="T48" s="16"/>
      <c r="U48" s="16"/>
      <c r="V48" s="16"/>
      <c r="W48" s="16"/>
      <c r="X48" s="16"/>
      <c r="Y48" s="17">
        <v>4</v>
      </c>
      <c r="Z48" s="17"/>
      <c r="AA48" s="16"/>
      <c r="AB48" s="16"/>
      <c r="AC48" s="16"/>
      <c r="AD48" s="16"/>
      <c r="AE48" s="16"/>
      <c r="AF48" s="17">
        <v>4</v>
      </c>
      <c r="AG48" s="17"/>
      <c r="AH48" s="16"/>
      <c r="AI48" s="16"/>
      <c r="AJ48" s="16"/>
      <c r="AK48" s="16"/>
      <c r="AL48" s="16"/>
      <c r="AM48" s="17">
        <v>4</v>
      </c>
      <c r="AN48" s="17"/>
      <c r="AO48" s="16">
        <f t="shared" si="1"/>
        <v>12</v>
      </c>
      <c r="AP48" s="106" t="s">
        <v>161</v>
      </c>
      <c r="AQ48">
        <v>60</v>
      </c>
      <c r="AR48" s="19">
        <f t="shared" si="0"/>
        <v>48</v>
      </c>
    </row>
    <row r="49" spans="1:44">
      <c r="A49" s="82"/>
      <c r="B49" s="78"/>
      <c r="C49" s="80"/>
      <c r="D49" s="82"/>
      <c r="E49" s="15" t="s">
        <v>23</v>
      </c>
      <c r="F49" s="15"/>
      <c r="G49" s="15"/>
      <c r="H49" s="16"/>
      <c r="I49" s="16"/>
      <c r="J49" s="16"/>
      <c r="K49" s="17"/>
      <c r="L49" s="17"/>
      <c r="M49" s="16"/>
      <c r="N49" s="16"/>
      <c r="O49" s="16"/>
      <c r="P49" s="16"/>
      <c r="Q49" s="16"/>
      <c r="R49" s="17"/>
      <c r="S49" s="17"/>
      <c r="T49" s="16"/>
      <c r="U49" s="16"/>
      <c r="V49" s="16"/>
      <c r="W49" s="16"/>
      <c r="X49" s="16"/>
      <c r="Y49" s="17">
        <v>4</v>
      </c>
      <c r="Z49" s="17"/>
      <c r="AA49" s="16"/>
      <c r="AB49" s="16"/>
      <c r="AC49" s="16"/>
      <c r="AD49" s="16"/>
      <c r="AE49" s="16"/>
      <c r="AF49" s="17">
        <v>4</v>
      </c>
      <c r="AG49" s="17"/>
      <c r="AH49" s="16"/>
      <c r="AI49" s="16"/>
      <c r="AJ49" s="16"/>
      <c r="AK49" s="16"/>
      <c r="AL49" s="16"/>
      <c r="AM49" s="17">
        <v>4</v>
      </c>
      <c r="AN49" s="17"/>
      <c r="AO49" s="16">
        <f t="shared" si="1"/>
        <v>12</v>
      </c>
      <c r="AP49" s="89"/>
      <c r="AR49" s="19" t="str">
        <f t="shared" si="0"/>
        <v/>
      </c>
    </row>
    <row r="50" spans="1:44" hidden="1">
      <c r="A50" s="82"/>
      <c r="B50" s="77" t="s">
        <v>36</v>
      </c>
      <c r="C50" s="90"/>
      <c r="D50" s="82"/>
      <c r="E50" s="15" t="s">
        <v>45</v>
      </c>
      <c r="F50" s="15"/>
      <c r="G50" s="15"/>
      <c r="H50" s="16"/>
      <c r="I50" s="16"/>
      <c r="J50" s="16"/>
      <c r="K50" s="17"/>
      <c r="L50" s="17"/>
      <c r="M50" s="16"/>
      <c r="N50" s="16"/>
      <c r="O50" s="16"/>
      <c r="P50" s="16"/>
      <c r="Q50" s="16"/>
      <c r="R50" s="17"/>
      <c r="S50" s="17"/>
      <c r="T50" s="16"/>
      <c r="U50" s="16"/>
      <c r="V50" s="16"/>
      <c r="W50" s="16"/>
      <c r="X50" s="16"/>
      <c r="Y50" s="17"/>
      <c r="Z50" s="17"/>
      <c r="AA50" s="16"/>
      <c r="AB50" s="16"/>
      <c r="AC50" s="16"/>
      <c r="AD50" s="16"/>
      <c r="AE50" s="16"/>
      <c r="AF50" s="17"/>
      <c r="AG50" s="17"/>
      <c r="AH50" s="16"/>
      <c r="AI50" s="16"/>
      <c r="AJ50" s="16"/>
      <c r="AK50" s="16"/>
      <c r="AL50" s="16"/>
      <c r="AM50" s="17"/>
      <c r="AN50" s="17"/>
      <c r="AO50" s="16">
        <f t="shared" si="1"/>
        <v>0</v>
      </c>
      <c r="AP50" s="105" t="s">
        <v>95</v>
      </c>
      <c r="AQ50">
        <v>60</v>
      </c>
      <c r="AR50" s="19">
        <f t="shared" si="0"/>
        <v>48</v>
      </c>
    </row>
    <row r="51" spans="1:44" hidden="1">
      <c r="A51" s="82"/>
      <c r="B51" s="78"/>
      <c r="C51" s="80"/>
      <c r="D51" s="82"/>
      <c r="E51" s="15" t="s">
        <v>23</v>
      </c>
      <c r="F51" s="15"/>
      <c r="G51" s="15"/>
      <c r="H51" s="16"/>
      <c r="I51" s="16"/>
      <c r="J51" s="16"/>
      <c r="K51" s="17"/>
      <c r="L51" s="17"/>
      <c r="M51" s="16"/>
      <c r="N51" s="16"/>
      <c r="O51" s="16"/>
      <c r="P51" s="16"/>
      <c r="Q51" s="16"/>
      <c r="R51" s="17"/>
      <c r="S51" s="17"/>
      <c r="T51" s="16"/>
      <c r="U51" s="16"/>
      <c r="V51" s="16"/>
      <c r="W51" s="16"/>
      <c r="X51" s="16"/>
      <c r="Y51" s="17"/>
      <c r="Z51" s="17"/>
      <c r="AA51" s="16"/>
      <c r="AB51" s="16"/>
      <c r="AC51" s="16"/>
      <c r="AD51" s="16"/>
      <c r="AE51" s="16"/>
      <c r="AF51" s="17"/>
      <c r="AG51" s="17"/>
      <c r="AH51" s="16"/>
      <c r="AI51" s="16"/>
      <c r="AJ51" s="16"/>
      <c r="AK51" s="16"/>
      <c r="AL51" s="16"/>
      <c r="AM51" s="17"/>
      <c r="AN51" s="17"/>
      <c r="AO51" s="16">
        <f t="shared" si="1"/>
        <v>0</v>
      </c>
      <c r="AP51" s="88"/>
      <c r="AR51" s="19" t="str">
        <f t="shared" si="0"/>
        <v/>
      </c>
    </row>
    <row r="52" spans="1:44">
      <c r="A52" s="83"/>
      <c r="B52" s="22" t="s">
        <v>36</v>
      </c>
      <c r="C52" s="23" t="s">
        <v>28</v>
      </c>
      <c r="D52" s="83"/>
      <c r="E52" s="24" t="s">
        <v>30</v>
      </c>
      <c r="F52" s="25"/>
      <c r="G52" s="25"/>
      <c r="H52" s="16"/>
      <c r="I52" s="16"/>
      <c r="J52" s="16"/>
      <c r="K52" s="17"/>
      <c r="L52" s="17"/>
      <c r="M52" s="16"/>
      <c r="N52" s="16"/>
      <c r="O52" s="16"/>
      <c r="P52" s="16"/>
      <c r="Q52" s="16"/>
      <c r="R52" s="17"/>
      <c r="S52" s="17"/>
      <c r="T52" s="16"/>
      <c r="U52" s="16"/>
      <c r="V52" s="16"/>
      <c r="W52" s="16"/>
      <c r="X52" s="16"/>
      <c r="Y52" s="17">
        <v>1</v>
      </c>
      <c r="Z52" s="17"/>
      <c r="AA52" s="16"/>
      <c r="AB52" s="16"/>
      <c r="AC52" s="16"/>
      <c r="AD52" s="16"/>
      <c r="AE52" s="16"/>
      <c r="AF52" s="17"/>
      <c r="AG52" s="17"/>
      <c r="AH52" s="16"/>
      <c r="AI52" s="16"/>
      <c r="AJ52" s="16"/>
      <c r="AK52" s="16"/>
      <c r="AL52" s="16"/>
      <c r="AM52" s="17">
        <v>1</v>
      </c>
      <c r="AN52" s="17"/>
      <c r="AO52" s="16">
        <f t="shared" si="1"/>
        <v>2</v>
      </c>
      <c r="AP52" s="16"/>
      <c r="AR52" s="19" t="str">
        <f t="shared" si="0"/>
        <v/>
      </c>
    </row>
    <row r="53" spans="1:44" hidden="1">
      <c r="A53" s="84" t="s">
        <v>96</v>
      </c>
      <c r="B53" s="22" t="s">
        <v>32</v>
      </c>
      <c r="C53" s="23" t="s">
        <v>142</v>
      </c>
      <c r="D53" s="84" t="s">
        <v>40</v>
      </c>
      <c r="E53" s="29" t="s">
        <v>23</v>
      </c>
      <c r="F53" s="15"/>
      <c r="G53" s="15"/>
      <c r="H53" s="16"/>
      <c r="I53" s="16"/>
      <c r="J53" s="16"/>
      <c r="K53" s="17"/>
      <c r="L53" s="17"/>
      <c r="M53" s="16"/>
      <c r="N53" s="16"/>
      <c r="O53" s="16"/>
      <c r="P53" s="16"/>
      <c r="Q53" s="16"/>
      <c r="R53" s="17"/>
      <c r="S53" s="17"/>
      <c r="T53" s="16"/>
      <c r="U53" s="16"/>
      <c r="V53" s="16"/>
      <c r="W53" s="16"/>
      <c r="X53" s="16"/>
      <c r="Y53" s="17"/>
      <c r="Z53" s="17"/>
      <c r="AA53" s="16"/>
      <c r="AB53" s="16"/>
      <c r="AC53" s="16"/>
      <c r="AD53" s="16"/>
      <c r="AE53" s="16"/>
      <c r="AF53" s="17"/>
      <c r="AG53" s="17"/>
      <c r="AH53" s="16"/>
      <c r="AI53" s="16"/>
      <c r="AJ53" s="16"/>
      <c r="AK53" s="16"/>
      <c r="AL53" s="16"/>
      <c r="AM53" s="17"/>
      <c r="AN53" s="17"/>
      <c r="AO53" s="16">
        <f t="shared" si="1"/>
        <v>0</v>
      </c>
      <c r="AP53" s="51" t="s">
        <v>97</v>
      </c>
      <c r="AQ53" s="42">
        <v>90</v>
      </c>
      <c r="AR53" s="19">
        <f t="shared" si="0"/>
        <v>72</v>
      </c>
    </row>
    <row r="54" spans="1:44" ht="28.5" customHeight="1">
      <c r="A54" s="82"/>
      <c r="B54" s="26" t="s">
        <v>123</v>
      </c>
      <c r="C54" s="27" t="s">
        <v>152</v>
      </c>
      <c r="D54" s="82"/>
      <c r="E54" s="15" t="s">
        <v>23</v>
      </c>
      <c r="F54" s="15"/>
      <c r="G54" s="15"/>
      <c r="H54" s="16"/>
      <c r="I54" s="16"/>
      <c r="J54" s="16"/>
      <c r="K54" s="17"/>
      <c r="L54" s="17"/>
      <c r="M54" s="16"/>
      <c r="N54" s="16"/>
      <c r="O54" s="16"/>
      <c r="P54" s="16"/>
      <c r="Q54" s="16"/>
      <c r="R54" s="17"/>
      <c r="S54" s="17"/>
      <c r="T54" s="16"/>
      <c r="U54" s="16">
        <v>4</v>
      </c>
      <c r="V54" s="16">
        <v>4</v>
      </c>
      <c r="W54" s="16"/>
      <c r="X54" s="16"/>
      <c r="Y54" s="17"/>
      <c r="Z54" s="17"/>
      <c r="AA54" s="16"/>
      <c r="AB54" s="16">
        <v>4</v>
      </c>
      <c r="AC54" s="16">
        <v>4</v>
      </c>
      <c r="AD54" s="16"/>
      <c r="AE54" s="16"/>
      <c r="AF54" s="17"/>
      <c r="AG54" s="17"/>
      <c r="AH54" s="16"/>
      <c r="AI54" s="16">
        <v>4</v>
      </c>
      <c r="AJ54" s="16">
        <v>4</v>
      </c>
      <c r="AK54" s="16"/>
      <c r="AL54" s="16"/>
      <c r="AM54" s="17"/>
      <c r="AN54" s="17"/>
      <c r="AO54" s="16">
        <f t="shared" si="1"/>
        <v>24</v>
      </c>
      <c r="AP54" s="51" t="s">
        <v>159</v>
      </c>
      <c r="AQ54">
        <v>90</v>
      </c>
      <c r="AR54" s="19">
        <f t="shared" si="0"/>
        <v>72</v>
      </c>
    </row>
    <row r="55" spans="1:44">
      <c r="A55" s="83"/>
      <c r="B55" s="22" t="s">
        <v>24</v>
      </c>
      <c r="C55" s="23" t="s">
        <v>28</v>
      </c>
      <c r="D55" s="83"/>
      <c r="E55" s="24" t="s">
        <v>30</v>
      </c>
      <c r="F55" s="25"/>
      <c r="G55" s="25"/>
      <c r="H55" s="16"/>
      <c r="I55" s="16"/>
      <c r="J55" s="16"/>
      <c r="K55" s="17"/>
      <c r="L55" s="17"/>
      <c r="M55" s="16"/>
      <c r="N55" s="16"/>
      <c r="O55" s="16"/>
      <c r="P55" s="16"/>
      <c r="Q55" s="16"/>
      <c r="R55" s="17"/>
      <c r="S55" s="17"/>
      <c r="T55" s="16"/>
      <c r="U55" s="16">
        <v>1</v>
      </c>
      <c r="V55" s="16"/>
      <c r="W55" s="16"/>
      <c r="X55" s="16"/>
      <c r="Y55" s="17"/>
      <c r="Z55" s="17"/>
      <c r="AA55" s="16"/>
      <c r="AB55" s="16"/>
      <c r="AC55" s="16"/>
      <c r="AD55" s="16"/>
      <c r="AE55" s="16"/>
      <c r="AF55" s="17"/>
      <c r="AG55" s="17"/>
      <c r="AH55" s="16"/>
      <c r="AI55" s="16">
        <v>1</v>
      </c>
      <c r="AJ55" s="16"/>
      <c r="AK55" s="16"/>
      <c r="AL55" s="16"/>
      <c r="AM55" s="17"/>
      <c r="AN55" s="17"/>
      <c r="AO55" s="16">
        <f t="shared" si="1"/>
        <v>2</v>
      </c>
      <c r="AP55" s="16"/>
      <c r="AR55" s="19" t="str">
        <f t="shared" si="0"/>
        <v/>
      </c>
    </row>
    <row r="56" spans="1:44" ht="18" customHeight="1">
      <c r="A56" s="84" t="s">
        <v>101</v>
      </c>
      <c r="B56" s="77" t="s">
        <v>38</v>
      </c>
      <c r="C56" s="77" t="s">
        <v>152</v>
      </c>
      <c r="D56" s="84" t="s">
        <v>56</v>
      </c>
      <c r="E56" s="15" t="s">
        <v>45</v>
      </c>
      <c r="F56" s="15"/>
      <c r="G56" s="15"/>
      <c r="H56" s="16"/>
      <c r="I56" s="16"/>
      <c r="J56" s="16"/>
      <c r="K56" s="17"/>
      <c r="L56" s="17"/>
      <c r="M56" s="16"/>
      <c r="N56" s="16"/>
      <c r="O56" s="16"/>
      <c r="P56" s="16"/>
      <c r="Q56" s="16"/>
      <c r="R56" s="17"/>
      <c r="S56" s="17"/>
      <c r="T56" s="16"/>
      <c r="U56" s="16"/>
      <c r="V56" s="16"/>
      <c r="W56" s="16"/>
      <c r="X56" s="16"/>
      <c r="Y56" s="17">
        <v>4</v>
      </c>
      <c r="Z56" s="17"/>
      <c r="AA56" s="16"/>
      <c r="AB56" s="16"/>
      <c r="AC56" s="16"/>
      <c r="AD56" s="16"/>
      <c r="AE56" s="16"/>
      <c r="AF56" s="17">
        <v>4</v>
      </c>
      <c r="AG56" s="17"/>
      <c r="AH56" s="16"/>
      <c r="AI56" s="16"/>
      <c r="AJ56" s="16"/>
      <c r="AK56" s="16"/>
      <c r="AL56" s="16"/>
      <c r="AM56" s="17">
        <v>4</v>
      </c>
      <c r="AN56" s="17"/>
      <c r="AO56" s="16">
        <f t="shared" si="1"/>
        <v>12</v>
      </c>
      <c r="AP56" s="106" t="s">
        <v>162</v>
      </c>
      <c r="AQ56">
        <v>90</v>
      </c>
      <c r="AR56" s="19">
        <f t="shared" si="0"/>
        <v>72</v>
      </c>
    </row>
    <row r="57" spans="1:44">
      <c r="A57" s="82"/>
      <c r="B57" s="78"/>
      <c r="C57" s="78"/>
      <c r="D57" s="82"/>
      <c r="E57" s="15" t="s">
        <v>23</v>
      </c>
      <c r="F57" s="15"/>
      <c r="G57" s="15"/>
      <c r="H57" s="16"/>
      <c r="I57" s="16"/>
      <c r="J57" s="16"/>
      <c r="K57" s="17"/>
      <c r="L57" s="17"/>
      <c r="M57" s="16"/>
      <c r="N57" s="16"/>
      <c r="O57" s="16"/>
      <c r="P57" s="16"/>
      <c r="Q57" s="16"/>
      <c r="R57" s="17"/>
      <c r="S57" s="17"/>
      <c r="T57" s="16"/>
      <c r="U57" s="16"/>
      <c r="V57" s="16"/>
      <c r="W57" s="16"/>
      <c r="X57" s="16">
        <v>4</v>
      </c>
      <c r="Y57" s="17">
        <v>4</v>
      </c>
      <c r="Z57" s="17"/>
      <c r="AA57" s="16"/>
      <c r="AB57" s="16"/>
      <c r="AC57" s="16"/>
      <c r="AD57" s="16"/>
      <c r="AE57" s="16">
        <v>4</v>
      </c>
      <c r="AF57" s="17">
        <v>4</v>
      </c>
      <c r="AG57" s="17"/>
      <c r="AH57" s="16"/>
      <c r="AI57" s="16"/>
      <c r="AJ57" s="16"/>
      <c r="AK57" s="16"/>
      <c r="AL57" s="16">
        <v>4</v>
      </c>
      <c r="AM57" s="17">
        <v>4</v>
      </c>
      <c r="AN57" s="17"/>
      <c r="AO57" s="16">
        <f t="shared" si="1"/>
        <v>24</v>
      </c>
      <c r="AP57" s="89"/>
      <c r="AR57" s="19" t="str">
        <f t="shared" si="0"/>
        <v/>
      </c>
    </row>
    <row r="58" spans="1:44">
      <c r="A58" s="83"/>
      <c r="B58" s="22" t="s">
        <v>55</v>
      </c>
      <c r="C58" s="23" t="s">
        <v>28</v>
      </c>
      <c r="D58" s="83"/>
      <c r="E58" s="24" t="s">
        <v>30</v>
      </c>
      <c r="F58" s="25"/>
      <c r="G58" s="25"/>
      <c r="H58" s="16"/>
      <c r="I58" s="16"/>
      <c r="J58" s="16"/>
      <c r="K58" s="17"/>
      <c r="L58" s="17"/>
      <c r="M58" s="16"/>
      <c r="N58" s="16"/>
      <c r="O58" s="16"/>
      <c r="P58" s="16"/>
      <c r="Q58" s="16"/>
      <c r="R58" s="17"/>
      <c r="S58" s="17"/>
      <c r="T58" s="16"/>
      <c r="U58" s="16"/>
      <c r="V58" s="16"/>
      <c r="W58" s="16"/>
      <c r="X58" s="16">
        <v>1</v>
      </c>
      <c r="Y58" s="17"/>
      <c r="Z58" s="17"/>
      <c r="AA58" s="16"/>
      <c r="AB58" s="16"/>
      <c r="AC58" s="16"/>
      <c r="AD58" s="16"/>
      <c r="AE58" s="16"/>
      <c r="AF58" s="17"/>
      <c r="AG58" s="17"/>
      <c r="AH58" s="16"/>
      <c r="AI58" s="16"/>
      <c r="AJ58" s="16"/>
      <c r="AK58" s="16"/>
      <c r="AL58" s="16">
        <v>1</v>
      </c>
      <c r="AM58" s="17"/>
      <c r="AN58" s="17"/>
      <c r="AO58" s="16">
        <f t="shared" si="1"/>
        <v>2</v>
      </c>
      <c r="AP58" s="16"/>
      <c r="AR58" s="19" t="str">
        <f t="shared" si="0"/>
        <v/>
      </c>
    </row>
    <row r="59" spans="1:44">
      <c r="A59" s="84" t="s">
        <v>103</v>
      </c>
      <c r="B59" s="77" t="s">
        <v>48</v>
      </c>
      <c r="C59" s="90" t="s">
        <v>152</v>
      </c>
      <c r="D59" s="84" t="s">
        <v>105</v>
      </c>
      <c r="E59" s="15" t="s">
        <v>45</v>
      </c>
      <c r="F59" s="15"/>
      <c r="G59" s="15"/>
      <c r="H59" s="16"/>
      <c r="I59" s="16"/>
      <c r="J59" s="16"/>
      <c r="K59" s="17"/>
      <c r="L59" s="17"/>
      <c r="M59" s="16"/>
      <c r="N59" s="16"/>
      <c r="O59" s="16"/>
      <c r="P59" s="16"/>
      <c r="Q59" s="16"/>
      <c r="R59" s="17"/>
      <c r="S59" s="17"/>
      <c r="T59" s="16"/>
      <c r="U59" s="16"/>
      <c r="V59" s="16"/>
      <c r="W59" s="16"/>
      <c r="X59" s="16"/>
      <c r="Y59" s="17">
        <v>4</v>
      </c>
      <c r="Z59" s="17"/>
      <c r="AA59" s="16"/>
      <c r="AB59" s="16"/>
      <c r="AC59" s="16"/>
      <c r="AD59" s="16"/>
      <c r="AE59" s="16"/>
      <c r="AF59" s="17">
        <v>4</v>
      </c>
      <c r="AG59" s="17"/>
      <c r="AH59" s="16"/>
      <c r="AI59" s="16"/>
      <c r="AJ59" s="16"/>
      <c r="AK59" s="16"/>
      <c r="AL59" s="16"/>
      <c r="AM59" s="17">
        <v>4</v>
      </c>
      <c r="AN59" s="17"/>
      <c r="AO59" s="16">
        <f t="shared" si="1"/>
        <v>12</v>
      </c>
      <c r="AP59" s="106" t="s">
        <v>162</v>
      </c>
      <c r="AQ59">
        <v>90</v>
      </c>
      <c r="AR59" s="19">
        <f t="shared" si="0"/>
        <v>72</v>
      </c>
    </row>
    <row r="60" spans="1:44">
      <c r="A60" s="82"/>
      <c r="B60" s="78"/>
      <c r="C60" s="80"/>
      <c r="D60" s="82"/>
      <c r="E60" s="15" t="s">
        <v>23</v>
      </c>
      <c r="F60" s="15"/>
      <c r="G60" s="15"/>
      <c r="H60" s="16"/>
      <c r="I60" s="16"/>
      <c r="J60" s="16"/>
      <c r="K60" s="17"/>
      <c r="L60" s="17"/>
      <c r="M60" s="16"/>
      <c r="N60" s="16"/>
      <c r="O60" s="16"/>
      <c r="P60" s="16"/>
      <c r="Q60" s="16"/>
      <c r="R60" s="17"/>
      <c r="S60" s="17"/>
      <c r="T60" s="16"/>
      <c r="U60" s="16"/>
      <c r="V60" s="16"/>
      <c r="W60" s="16"/>
      <c r="X60" s="16">
        <v>4</v>
      </c>
      <c r="Y60" s="17">
        <v>4</v>
      </c>
      <c r="Z60" s="17"/>
      <c r="AA60" s="16"/>
      <c r="AB60" s="16"/>
      <c r="AC60" s="16"/>
      <c r="AD60" s="16"/>
      <c r="AE60" s="16">
        <v>4</v>
      </c>
      <c r="AF60" s="17">
        <v>4</v>
      </c>
      <c r="AG60" s="17"/>
      <c r="AH60" s="16"/>
      <c r="AI60" s="16"/>
      <c r="AJ60" s="16"/>
      <c r="AK60" s="16"/>
      <c r="AL60" s="16">
        <v>4</v>
      </c>
      <c r="AM60" s="17">
        <v>4</v>
      </c>
      <c r="AN60" s="17"/>
      <c r="AO60" s="16">
        <f t="shared" si="1"/>
        <v>24</v>
      </c>
      <c r="AP60" s="89"/>
      <c r="AR60" s="19" t="str">
        <f t="shared" si="0"/>
        <v/>
      </c>
    </row>
    <row r="61" spans="1:44">
      <c r="A61" s="83"/>
      <c r="B61" s="22" t="s">
        <v>87</v>
      </c>
      <c r="C61" s="23" t="s">
        <v>28</v>
      </c>
      <c r="D61" s="83"/>
      <c r="E61" s="24" t="s">
        <v>30</v>
      </c>
      <c r="F61" s="25"/>
      <c r="G61" s="25"/>
      <c r="H61" s="16"/>
      <c r="I61" s="16"/>
      <c r="J61" s="16"/>
      <c r="K61" s="17"/>
      <c r="L61" s="17"/>
      <c r="M61" s="16"/>
      <c r="N61" s="16"/>
      <c r="O61" s="16"/>
      <c r="P61" s="16"/>
      <c r="Q61" s="16"/>
      <c r="R61" s="17"/>
      <c r="S61" s="17"/>
      <c r="T61" s="16"/>
      <c r="U61" s="16"/>
      <c r="V61" s="16"/>
      <c r="W61" s="16"/>
      <c r="X61" s="16">
        <v>1</v>
      </c>
      <c r="Y61" s="17"/>
      <c r="Z61" s="17"/>
      <c r="AA61" s="16"/>
      <c r="AB61" s="16"/>
      <c r="AC61" s="16"/>
      <c r="AD61" s="16"/>
      <c r="AE61" s="16"/>
      <c r="AF61" s="17"/>
      <c r="AG61" s="17"/>
      <c r="AH61" s="16"/>
      <c r="AI61" s="16"/>
      <c r="AJ61" s="16"/>
      <c r="AK61" s="16"/>
      <c r="AL61" s="16">
        <v>1</v>
      </c>
      <c r="AM61" s="17"/>
      <c r="AN61" s="17"/>
      <c r="AO61" s="16">
        <f t="shared" si="1"/>
        <v>2</v>
      </c>
      <c r="AP61" s="16"/>
      <c r="AR61" s="19" t="str">
        <f t="shared" si="0"/>
        <v/>
      </c>
    </row>
    <row r="62" spans="1:44" ht="31">
      <c r="A62" s="91" t="s">
        <v>107</v>
      </c>
      <c r="B62" s="26" t="s">
        <v>42</v>
      </c>
      <c r="C62" s="27" t="s">
        <v>61</v>
      </c>
      <c r="D62" s="75" t="s">
        <v>108</v>
      </c>
      <c r="E62" s="28" t="s">
        <v>109</v>
      </c>
      <c r="F62" s="24"/>
      <c r="G62" s="24"/>
      <c r="H62" s="16"/>
      <c r="I62" s="16"/>
      <c r="J62" s="16"/>
      <c r="K62" s="17"/>
      <c r="L62" s="17"/>
      <c r="M62" s="16"/>
      <c r="N62" s="16"/>
      <c r="O62" s="16"/>
      <c r="P62" s="16"/>
      <c r="Q62" s="16"/>
      <c r="R62" s="17"/>
      <c r="S62" s="17"/>
      <c r="T62" s="16"/>
      <c r="U62" s="16"/>
      <c r="V62" s="16"/>
      <c r="W62" s="16"/>
      <c r="X62" s="16"/>
      <c r="Y62" s="17"/>
      <c r="Z62" s="17"/>
      <c r="AA62" s="16"/>
      <c r="AB62" s="16"/>
      <c r="AC62" s="16"/>
      <c r="AD62" s="16"/>
      <c r="AE62" s="16">
        <v>4</v>
      </c>
      <c r="AF62" s="17">
        <v>4</v>
      </c>
      <c r="AG62" s="17"/>
      <c r="AH62" s="16"/>
      <c r="AI62" s="16"/>
      <c r="AJ62" s="16"/>
      <c r="AK62" s="16">
        <v>4</v>
      </c>
      <c r="AL62" s="16">
        <v>4</v>
      </c>
      <c r="AM62" s="17">
        <v>4</v>
      </c>
      <c r="AN62" s="17"/>
      <c r="AO62" s="16">
        <f t="shared" si="1"/>
        <v>20</v>
      </c>
      <c r="AP62" s="51" t="s">
        <v>99</v>
      </c>
      <c r="AQ62">
        <v>30</v>
      </c>
      <c r="AR62" s="19">
        <f t="shared" si="0"/>
        <v>24</v>
      </c>
    </row>
    <row r="63" spans="1:44" ht="46.5">
      <c r="A63" s="91"/>
      <c r="B63" s="26" t="s">
        <v>63</v>
      </c>
      <c r="C63" s="27" t="s">
        <v>110</v>
      </c>
      <c r="D63" s="75"/>
      <c r="E63" s="28" t="s">
        <v>109</v>
      </c>
      <c r="F63" s="24"/>
      <c r="G63" s="24"/>
      <c r="H63" s="16"/>
      <c r="I63" s="16"/>
      <c r="J63" s="16"/>
      <c r="K63" s="17"/>
      <c r="L63" s="17"/>
      <c r="M63" s="16"/>
      <c r="N63" s="16"/>
      <c r="O63" s="16"/>
      <c r="P63" s="16">
        <v>4</v>
      </c>
      <c r="Q63" s="16">
        <v>4</v>
      </c>
      <c r="R63" s="17">
        <v>4</v>
      </c>
      <c r="S63" s="17"/>
      <c r="T63" s="16"/>
      <c r="U63" s="16"/>
      <c r="V63" s="16"/>
      <c r="W63" s="16">
        <v>4</v>
      </c>
      <c r="X63" s="16">
        <v>4</v>
      </c>
      <c r="Y63" s="17">
        <v>4</v>
      </c>
      <c r="Z63" s="17"/>
      <c r="AA63" s="16"/>
      <c r="AB63" s="16"/>
      <c r="AC63" s="16"/>
      <c r="AD63" s="16">
        <v>4</v>
      </c>
      <c r="AE63" s="16"/>
      <c r="AF63" s="17"/>
      <c r="AG63" s="17"/>
      <c r="AH63" s="16"/>
      <c r="AI63" s="16"/>
      <c r="AJ63" s="16"/>
      <c r="AK63" s="16"/>
      <c r="AL63" s="16"/>
      <c r="AM63" s="17"/>
      <c r="AN63" s="17"/>
      <c r="AO63" s="16">
        <f t="shared" si="1"/>
        <v>28</v>
      </c>
      <c r="AP63" s="51" t="s">
        <v>19</v>
      </c>
      <c r="AQ63">
        <v>45</v>
      </c>
      <c r="AR63" s="19">
        <f t="shared" si="0"/>
        <v>36</v>
      </c>
    </row>
    <row r="64" spans="1:44">
      <c r="A64" s="91"/>
      <c r="B64" s="26" t="s">
        <v>63</v>
      </c>
      <c r="C64" s="26" t="s">
        <v>28</v>
      </c>
      <c r="D64" s="75"/>
      <c r="E64" s="24" t="s">
        <v>112</v>
      </c>
      <c r="F64" s="24"/>
      <c r="G64" s="24"/>
      <c r="H64" s="16"/>
      <c r="I64" s="16"/>
      <c r="J64" s="16"/>
      <c r="K64" s="17"/>
      <c r="L64" s="17"/>
      <c r="M64" s="16"/>
      <c r="N64" s="16"/>
      <c r="O64" s="16"/>
      <c r="P64" s="16">
        <v>1</v>
      </c>
      <c r="Q64" s="16"/>
      <c r="R64" s="17"/>
      <c r="S64" s="17"/>
      <c r="T64" s="16"/>
      <c r="U64" s="16"/>
      <c r="V64" s="16"/>
      <c r="W64" s="16"/>
      <c r="X64" s="16"/>
      <c r="Y64" s="17"/>
      <c r="Z64" s="17"/>
      <c r="AA64" s="16"/>
      <c r="AB64" s="16"/>
      <c r="AC64" s="16"/>
      <c r="AD64" s="16">
        <v>1</v>
      </c>
      <c r="AE64" s="16"/>
      <c r="AF64" s="17"/>
      <c r="AG64" s="17"/>
      <c r="AH64" s="16"/>
      <c r="AI64" s="16"/>
      <c r="AJ64" s="16"/>
      <c r="AK64" s="16"/>
      <c r="AL64" s="16"/>
      <c r="AM64" s="17"/>
      <c r="AN64" s="17"/>
      <c r="AO64" s="16">
        <f t="shared" si="1"/>
        <v>2</v>
      </c>
      <c r="AP64" s="16"/>
      <c r="AR64" s="19" t="str">
        <f t="shared" si="0"/>
        <v/>
      </c>
    </row>
    <row r="65" spans="1:44" ht="31">
      <c r="A65" s="91" t="s">
        <v>113</v>
      </c>
      <c r="B65" s="26" t="s">
        <v>63</v>
      </c>
      <c r="C65" s="27" t="s">
        <v>98</v>
      </c>
      <c r="D65" s="8" t="s">
        <v>65</v>
      </c>
      <c r="E65" s="24" t="s">
        <v>45</v>
      </c>
      <c r="F65" s="24"/>
      <c r="G65" s="24"/>
      <c r="H65" s="16"/>
      <c r="I65" s="16"/>
      <c r="J65" s="16"/>
      <c r="K65" s="108" t="s">
        <v>141</v>
      </c>
      <c r="L65" s="17"/>
      <c r="M65" s="16"/>
      <c r="N65" s="16">
        <v>4</v>
      </c>
      <c r="O65" s="16"/>
      <c r="P65" s="16"/>
      <c r="Q65" s="16"/>
      <c r="R65" s="17"/>
      <c r="S65" s="17"/>
      <c r="T65" s="16"/>
      <c r="U65" s="16">
        <v>4</v>
      </c>
      <c r="V65" s="16"/>
      <c r="W65" s="16"/>
      <c r="X65" s="16"/>
      <c r="Y65" s="17"/>
      <c r="Z65" s="17"/>
      <c r="AA65" s="16"/>
      <c r="AB65" s="16">
        <v>4</v>
      </c>
      <c r="AC65" s="16"/>
      <c r="AD65" s="16"/>
      <c r="AE65" s="16"/>
      <c r="AF65" s="17"/>
      <c r="AG65" s="17"/>
      <c r="AH65" s="16"/>
      <c r="AI65" s="16">
        <v>4</v>
      </c>
      <c r="AJ65" s="16"/>
      <c r="AK65" s="16"/>
      <c r="AL65" s="16"/>
      <c r="AM65" s="17"/>
      <c r="AN65" s="17"/>
      <c r="AO65" s="16">
        <f t="shared" si="1"/>
        <v>16</v>
      </c>
      <c r="AP65" s="51" t="s">
        <v>66</v>
      </c>
      <c r="AQ65">
        <v>30</v>
      </c>
      <c r="AR65" s="19">
        <f t="shared" si="0"/>
        <v>24</v>
      </c>
    </row>
    <row r="66" spans="1:44">
      <c r="A66" s="91"/>
      <c r="B66" s="26" t="s">
        <v>20</v>
      </c>
      <c r="C66" s="27" t="s">
        <v>115</v>
      </c>
      <c r="D66" s="8" t="s">
        <v>65</v>
      </c>
      <c r="E66" s="24" t="s">
        <v>45</v>
      </c>
      <c r="F66" s="24"/>
      <c r="G66" s="24"/>
      <c r="H66" s="16"/>
      <c r="I66" s="16"/>
      <c r="J66" s="16"/>
      <c r="K66" s="109"/>
      <c r="L66" s="17"/>
      <c r="M66" s="16"/>
      <c r="N66" s="16"/>
      <c r="O66" s="16">
        <v>4</v>
      </c>
      <c r="P66" s="16"/>
      <c r="Q66" s="16"/>
      <c r="R66" s="17"/>
      <c r="S66" s="17"/>
      <c r="T66" s="16"/>
      <c r="U66" s="16"/>
      <c r="V66" s="16">
        <v>4</v>
      </c>
      <c r="W66" s="16"/>
      <c r="X66" s="16"/>
      <c r="Y66" s="17"/>
      <c r="Z66" s="17"/>
      <c r="AA66" s="16"/>
      <c r="AB66" s="16"/>
      <c r="AC66" s="16">
        <v>4</v>
      </c>
      <c r="AD66" s="16"/>
      <c r="AE66" s="16"/>
      <c r="AF66" s="17"/>
      <c r="AG66" s="17"/>
      <c r="AH66" s="16"/>
      <c r="AI66" s="16"/>
      <c r="AJ66" s="16">
        <v>4</v>
      </c>
      <c r="AK66" s="16"/>
      <c r="AL66" s="16"/>
      <c r="AM66" s="17"/>
      <c r="AN66" s="17"/>
      <c r="AO66" s="16">
        <f t="shared" si="1"/>
        <v>16</v>
      </c>
      <c r="AP66" s="51" t="s">
        <v>161</v>
      </c>
      <c r="AQ66">
        <v>60</v>
      </c>
      <c r="AR66" s="19">
        <f t="shared" si="0"/>
        <v>48</v>
      </c>
    </row>
    <row r="67" spans="1:44" ht="18.75" hidden="1" customHeight="1">
      <c r="A67" s="91"/>
      <c r="B67" s="26" t="s">
        <v>117</v>
      </c>
      <c r="C67" s="27" t="s">
        <v>118</v>
      </c>
      <c r="D67" s="8" t="s">
        <v>29</v>
      </c>
      <c r="E67" s="24"/>
      <c r="F67" s="24"/>
      <c r="G67" s="24"/>
      <c r="H67" s="16"/>
      <c r="I67" s="16"/>
      <c r="J67" s="16"/>
      <c r="K67" s="109"/>
      <c r="L67" s="17"/>
      <c r="M67" s="16"/>
      <c r="N67" s="16"/>
      <c r="O67" s="16"/>
      <c r="P67" s="16"/>
      <c r="Q67" s="16"/>
      <c r="R67" s="17"/>
      <c r="S67" s="17"/>
      <c r="T67" s="16"/>
      <c r="U67" s="16"/>
      <c r="V67" s="16"/>
      <c r="W67" s="16"/>
      <c r="X67" s="16"/>
      <c r="Y67" s="17"/>
      <c r="Z67" s="17"/>
      <c r="AA67" s="16"/>
      <c r="AB67" s="16"/>
      <c r="AC67" s="16"/>
      <c r="AD67" s="16"/>
      <c r="AE67" s="16"/>
      <c r="AF67" s="17"/>
      <c r="AG67" s="17"/>
      <c r="AH67" s="16"/>
      <c r="AI67" s="16"/>
      <c r="AJ67" s="16"/>
      <c r="AK67" s="16"/>
      <c r="AL67" s="16"/>
      <c r="AM67" s="17"/>
      <c r="AN67" s="17"/>
      <c r="AO67" s="16">
        <f t="shared" si="1"/>
        <v>0</v>
      </c>
      <c r="AP67" s="16"/>
      <c r="AQ67">
        <v>30</v>
      </c>
      <c r="AR67" s="19">
        <f t="shared" si="0"/>
        <v>24</v>
      </c>
    </row>
    <row r="68" spans="1:44">
      <c r="A68" s="91"/>
      <c r="B68" s="26" t="s">
        <v>36</v>
      </c>
      <c r="C68" s="27" t="s">
        <v>119</v>
      </c>
      <c r="D68" s="8" t="s">
        <v>120</v>
      </c>
      <c r="E68" s="24" t="s">
        <v>45</v>
      </c>
      <c r="F68" s="24"/>
      <c r="G68" s="24"/>
      <c r="H68" s="16"/>
      <c r="I68" s="16"/>
      <c r="J68" s="16"/>
      <c r="K68" s="109"/>
      <c r="L68" s="17"/>
      <c r="M68" s="16"/>
      <c r="N68" s="16"/>
      <c r="O68" s="16"/>
      <c r="P68" s="16">
        <v>4</v>
      </c>
      <c r="Q68" s="16"/>
      <c r="R68" s="17"/>
      <c r="S68" s="17"/>
      <c r="T68" s="16"/>
      <c r="U68" s="16"/>
      <c r="V68" s="16"/>
      <c r="W68" s="16">
        <v>4</v>
      </c>
      <c r="X68" s="16"/>
      <c r="Y68" s="17"/>
      <c r="Z68" s="17"/>
      <c r="AA68" s="16"/>
      <c r="AB68" s="16"/>
      <c r="AC68" s="16"/>
      <c r="AD68" s="16">
        <v>4</v>
      </c>
      <c r="AE68" s="16"/>
      <c r="AF68" s="17"/>
      <c r="AG68" s="17"/>
      <c r="AH68" s="16"/>
      <c r="AI68" s="16"/>
      <c r="AJ68" s="16"/>
      <c r="AK68" s="16">
        <v>4</v>
      </c>
      <c r="AL68" s="16"/>
      <c r="AM68" s="17"/>
      <c r="AN68" s="17"/>
      <c r="AO68" s="16">
        <f t="shared" si="1"/>
        <v>16</v>
      </c>
      <c r="AP68" s="51" t="s">
        <v>163</v>
      </c>
      <c r="AQ68">
        <v>75</v>
      </c>
      <c r="AR68" s="19">
        <f t="shared" ref="AR68:AR92" si="2">IF(AQ68="","",AQ68-(AQ68*$AS$9))</f>
        <v>60</v>
      </c>
    </row>
    <row r="69" spans="1:44" ht="31">
      <c r="A69" s="91"/>
      <c r="B69" s="26" t="s">
        <v>50</v>
      </c>
      <c r="C69" s="27" t="s">
        <v>75</v>
      </c>
      <c r="D69" s="8" t="s">
        <v>65</v>
      </c>
      <c r="E69" s="24" t="s">
        <v>45</v>
      </c>
      <c r="F69" s="24"/>
      <c r="G69" s="24"/>
      <c r="H69" s="16"/>
      <c r="I69" s="16">
        <v>4</v>
      </c>
      <c r="J69" s="16">
        <v>4</v>
      </c>
      <c r="K69" s="109"/>
      <c r="L69" s="17"/>
      <c r="M69" s="16">
        <v>4</v>
      </c>
      <c r="N69" s="16"/>
      <c r="O69" s="16"/>
      <c r="P69" s="16"/>
      <c r="Q69" s="16"/>
      <c r="R69" s="17"/>
      <c r="S69" s="17"/>
      <c r="T69" s="16">
        <v>4</v>
      </c>
      <c r="U69" s="16"/>
      <c r="V69" s="16"/>
      <c r="W69" s="16"/>
      <c r="X69" s="16"/>
      <c r="Y69" s="17"/>
      <c r="Z69" s="17"/>
      <c r="AA69" s="16">
        <v>4</v>
      </c>
      <c r="AB69" s="16"/>
      <c r="AC69" s="16"/>
      <c r="AD69" s="16"/>
      <c r="AE69" s="16"/>
      <c r="AF69" s="17"/>
      <c r="AG69" s="17"/>
      <c r="AH69" s="16">
        <v>4</v>
      </c>
      <c r="AI69" s="16"/>
      <c r="AJ69" s="16"/>
      <c r="AK69" s="16"/>
      <c r="AL69" s="16"/>
      <c r="AM69" s="17"/>
      <c r="AN69" s="17"/>
      <c r="AO69" s="16">
        <f t="shared" ref="AO69:AO89" si="3">SUM(F69:AN69)</f>
        <v>24</v>
      </c>
      <c r="AP69" s="51" t="s">
        <v>164</v>
      </c>
      <c r="AQ69">
        <v>75</v>
      </c>
      <c r="AR69" s="19">
        <f t="shared" si="2"/>
        <v>60</v>
      </c>
    </row>
    <row r="70" spans="1:44">
      <c r="A70" s="91"/>
      <c r="B70" s="26" t="s">
        <v>50</v>
      </c>
      <c r="C70" s="27" t="s">
        <v>28</v>
      </c>
      <c r="D70" s="8" t="s">
        <v>65</v>
      </c>
      <c r="E70" s="24" t="s">
        <v>76</v>
      </c>
      <c r="F70" s="24"/>
      <c r="G70" s="24"/>
      <c r="H70" s="16"/>
      <c r="I70" s="16"/>
      <c r="J70" s="16"/>
      <c r="K70" s="109"/>
      <c r="L70" s="17"/>
      <c r="M70" s="16">
        <v>1</v>
      </c>
      <c r="N70" s="16"/>
      <c r="O70" s="16"/>
      <c r="P70" s="16"/>
      <c r="Q70" s="16"/>
      <c r="R70" s="17"/>
      <c r="S70" s="17"/>
      <c r="T70" s="16">
        <v>1</v>
      </c>
      <c r="U70" s="16"/>
      <c r="V70" s="16"/>
      <c r="W70" s="16"/>
      <c r="X70" s="16"/>
      <c r="Y70" s="17"/>
      <c r="Z70" s="17"/>
      <c r="AA70" s="16">
        <v>1</v>
      </c>
      <c r="AB70" s="16"/>
      <c r="AC70" s="16"/>
      <c r="AD70" s="16"/>
      <c r="AE70" s="16"/>
      <c r="AF70" s="17"/>
      <c r="AG70" s="17"/>
      <c r="AH70" s="16">
        <v>1</v>
      </c>
      <c r="AI70" s="16"/>
      <c r="AJ70" s="16"/>
      <c r="AK70" s="16"/>
      <c r="AL70" s="16"/>
      <c r="AM70" s="17"/>
      <c r="AN70" s="17"/>
      <c r="AO70" s="16">
        <f t="shared" si="3"/>
        <v>4</v>
      </c>
      <c r="AP70" s="16"/>
      <c r="AR70" s="19" t="str">
        <f t="shared" si="2"/>
        <v/>
      </c>
    </row>
    <row r="71" spans="1:44">
      <c r="A71" s="91" t="s">
        <v>122</v>
      </c>
      <c r="B71" s="26" t="s">
        <v>123</v>
      </c>
      <c r="C71" s="27" t="s">
        <v>115</v>
      </c>
      <c r="D71" s="8" t="s">
        <v>71</v>
      </c>
      <c r="E71" s="24" t="s">
        <v>45</v>
      </c>
      <c r="F71" s="24"/>
      <c r="G71" s="24"/>
      <c r="H71" s="16"/>
      <c r="I71" s="16"/>
      <c r="J71" s="16"/>
      <c r="K71" s="109"/>
      <c r="L71" s="17"/>
      <c r="M71" s="16"/>
      <c r="N71" s="16">
        <v>4</v>
      </c>
      <c r="O71" s="16"/>
      <c r="P71" s="16"/>
      <c r="Q71" s="16"/>
      <c r="R71" s="17"/>
      <c r="S71" s="17"/>
      <c r="T71" s="16"/>
      <c r="U71" s="16">
        <v>4</v>
      </c>
      <c r="V71" s="16"/>
      <c r="W71" s="16"/>
      <c r="X71" s="16"/>
      <c r="Y71" s="17"/>
      <c r="Z71" s="17"/>
      <c r="AA71" s="16"/>
      <c r="AB71" s="16">
        <v>4</v>
      </c>
      <c r="AC71" s="16"/>
      <c r="AD71" s="16"/>
      <c r="AE71" s="16"/>
      <c r="AF71" s="17"/>
      <c r="AG71" s="17"/>
      <c r="AH71" s="16"/>
      <c r="AI71" s="16">
        <v>4</v>
      </c>
      <c r="AJ71" s="16"/>
      <c r="AK71" s="16"/>
      <c r="AL71" s="16"/>
      <c r="AM71" s="17"/>
      <c r="AN71" s="17"/>
      <c r="AO71" s="16">
        <f t="shared" si="3"/>
        <v>16</v>
      </c>
      <c r="AP71" s="51" t="s">
        <v>165</v>
      </c>
      <c r="AQ71">
        <v>45</v>
      </c>
      <c r="AR71" s="19">
        <f t="shared" si="2"/>
        <v>36</v>
      </c>
    </row>
    <row r="72" spans="1:44">
      <c r="A72" s="91"/>
      <c r="B72" s="26" t="s">
        <v>42</v>
      </c>
      <c r="C72" s="27" t="s">
        <v>61</v>
      </c>
      <c r="D72" s="8" t="s">
        <v>71</v>
      </c>
      <c r="E72" s="24" t="s">
        <v>45</v>
      </c>
      <c r="F72" s="24"/>
      <c r="G72" s="24"/>
      <c r="H72" s="16"/>
      <c r="I72" s="16"/>
      <c r="J72" s="16"/>
      <c r="K72" s="109"/>
      <c r="L72" s="17"/>
      <c r="M72" s="16"/>
      <c r="N72" s="16"/>
      <c r="O72" s="16"/>
      <c r="P72" s="16">
        <v>4</v>
      </c>
      <c r="Q72" s="16"/>
      <c r="R72" s="17"/>
      <c r="S72" s="17"/>
      <c r="T72" s="16"/>
      <c r="U72" s="16"/>
      <c r="V72" s="16"/>
      <c r="W72" s="16">
        <v>4</v>
      </c>
      <c r="X72" s="16"/>
      <c r="Y72" s="17"/>
      <c r="Z72" s="17"/>
      <c r="AA72" s="16"/>
      <c r="AB72" s="16"/>
      <c r="AC72" s="16"/>
      <c r="AD72" s="16">
        <v>4</v>
      </c>
      <c r="AE72" s="16"/>
      <c r="AF72" s="17"/>
      <c r="AG72" s="17"/>
      <c r="AH72" s="16"/>
      <c r="AI72" s="16"/>
      <c r="AJ72" s="16"/>
      <c r="AK72" s="16">
        <v>4</v>
      </c>
      <c r="AL72" s="16"/>
      <c r="AM72" s="17"/>
      <c r="AN72" s="17"/>
      <c r="AO72" s="16">
        <f t="shared" si="3"/>
        <v>16</v>
      </c>
      <c r="AP72" s="51" t="s">
        <v>99</v>
      </c>
      <c r="AQ72">
        <v>30</v>
      </c>
      <c r="AR72" s="19">
        <f t="shared" si="2"/>
        <v>24</v>
      </c>
    </row>
    <row r="73" spans="1:44">
      <c r="A73" s="91"/>
      <c r="B73" s="26" t="s">
        <v>36</v>
      </c>
      <c r="C73" s="27" t="s">
        <v>119</v>
      </c>
      <c r="D73" s="8" t="s">
        <v>120</v>
      </c>
      <c r="E73" s="24" t="s">
        <v>45</v>
      </c>
      <c r="F73" s="24"/>
      <c r="G73" s="24"/>
      <c r="H73" s="16"/>
      <c r="I73" s="16"/>
      <c r="J73" s="16">
        <v>4</v>
      </c>
      <c r="K73" s="109"/>
      <c r="L73" s="17"/>
      <c r="M73" s="16"/>
      <c r="N73" s="16"/>
      <c r="O73" s="16">
        <v>4</v>
      </c>
      <c r="P73" s="16"/>
      <c r="Q73" s="16"/>
      <c r="R73" s="17"/>
      <c r="S73" s="17"/>
      <c r="T73" s="16"/>
      <c r="U73" s="16"/>
      <c r="V73" s="16">
        <v>4</v>
      </c>
      <c r="W73" s="16"/>
      <c r="X73" s="16"/>
      <c r="Y73" s="17"/>
      <c r="Z73" s="17"/>
      <c r="AA73" s="16"/>
      <c r="AB73" s="16"/>
      <c r="AC73" s="16">
        <v>4</v>
      </c>
      <c r="AD73" s="16"/>
      <c r="AE73" s="16"/>
      <c r="AF73" s="17"/>
      <c r="AG73" s="17"/>
      <c r="AH73" s="16"/>
      <c r="AI73" s="16"/>
      <c r="AJ73" s="16">
        <v>4</v>
      </c>
      <c r="AK73" s="16"/>
      <c r="AL73" s="16"/>
      <c r="AM73" s="17"/>
      <c r="AN73" s="17"/>
      <c r="AO73" s="16">
        <f t="shared" si="3"/>
        <v>20</v>
      </c>
      <c r="AP73" s="51" t="s">
        <v>165</v>
      </c>
      <c r="AQ73">
        <v>45</v>
      </c>
      <c r="AR73" s="19">
        <f t="shared" si="2"/>
        <v>36</v>
      </c>
    </row>
    <row r="74" spans="1:44" ht="31">
      <c r="A74" s="91"/>
      <c r="B74" s="26" t="s">
        <v>63</v>
      </c>
      <c r="C74" s="27" t="s">
        <v>98</v>
      </c>
      <c r="D74" s="8" t="s">
        <v>71</v>
      </c>
      <c r="E74" s="24" t="s">
        <v>45</v>
      </c>
      <c r="F74" s="24"/>
      <c r="G74" s="24"/>
      <c r="H74" s="16"/>
      <c r="I74" s="16">
        <v>4</v>
      </c>
      <c r="J74" s="16"/>
      <c r="K74" s="109"/>
      <c r="L74" s="17"/>
      <c r="M74" s="16">
        <v>4</v>
      </c>
      <c r="N74" s="16"/>
      <c r="O74" s="16"/>
      <c r="P74" s="16"/>
      <c r="Q74" s="16"/>
      <c r="R74" s="17"/>
      <c r="S74" s="17"/>
      <c r="T74" s="16">
        <v>4</v>
      </c>
      <c r="U74" s="16"/>
      <c r="V74" s="16"/>
      <c r="W74" s="16"/>
      <c r="X74" s="16"/>
      <c r="Y74" s="17"/>
      <c r="Z74" s="17"/>
      <c r="AA74" s="16">
        <v>4</v>
      </c>
      <c r="AB74" s="16"/>
      <c r="AC74" s="16"/>
      <c r="AD74" s="16"/>
      <c r="AE74" s="16"/>
      <c r="AF74" s="17"/>
      <c r="AG74" s="17"/>
      <c r="AH74" s="16"/>
      <c r="AI74" s="16"/>
      <c r="AJ74" s="16"/>
      <c r="AK74" s="16"/>
      <c r="AL74" s="16"/>
      <c r="AM74" s="17"/>
      <c r="AN74" s="17"/>
      <c r="AO74" s="16">
        <f t="shared" si="3"/>
        <v>16</v>
      </c>
      <c r="AP74" s="51" t="s">
        <v>66</v>
      </c>
      <c r="AQ74">
        <v>30</v>
      </c>
      <c r="AR74" s="19">
        <f t="shared" si="2"/>
        <v>24</v>
      </c>
    </row>
    <row r="75" spans="1:44" ht="46.5">
      <c r="A75" s="91"/>
      <c r="B75" s="26" t="s">
        <v>63</v>
      </c>
      <c r="C75" s="27" t="s">
        <v>110</v>
      </c>
      <c r="D75" s="8" t="s">
        <v>71</v>
      </c>
      <c r="E75" s="24" t="s">
        <v>45</v>
      </c>
      <c r="F75" s="24"/>
      <c r="G75" s="24"/>
      <c r="H75" s="16"/>
      <c r="I75" s="16"/>
      <c r="J75" s="16"/>
      <c r="K75" s="109"/>
      <c r="L75" s="17"/>
      <c r="M75" s="16"/>
      <c r="N75" s="16"/>
      <c r="O75" s="16"/>
      <c r="P75" s="16"/>
      <c r="Q75" s="16"/>
      <c r="R75" s="17"/>
      <c r="S75" s="17"/>
      <c r="T75" s="16"/>
      <c r="U75" s="16"/>
      <c r="V75" s="16"/>
      <c r="W75" s="16"/>
      <c r="X75" s="16"/>
      <c r="Y75" s="17"/>
      <c r="Z75" s="17"/>
      <c r="AA75" s="16"/>
      <c r="AB75" s="16"/>
      <c r="AC75" s="16"/>
      <c r="AD75" s="16"/>
      <c r="AE75" s="16"/>
      <c r="AF75" s="17"/>
      <c r="AG75" s="17"/>
      <c r="AH75" s="16">
        <v>4</v>
      </c>
      <c r="AI75" s="16"/>
      <c r="AJ75" s="16"/>
      <c r="AK75" s="16"/>
      <c r="AL75" s="16"/>
      <c r="AM75" s="17"/>
      <c r="AN75" s="17"/>
      <c r="AO75" s="16">
        <f t="shared" si="3"/>
        <v>4</v>
      </c>
      <c r="AP75" s="51" t="s">
        <v>125</v>
      </c>
      <c r="AQ75">
        <v>45</v>
      </c>
      <c r="AR75" s="19">
        <f t="shared" si="2"/>
        <v>36</v>
      </c>
    </row>
    <row r="76" spans="1:44">
      <c r="A76" s="91"/>
      <c r="B76" s="26" t="s">
        <v>63</v>
      </c>
      <c r="C76" s="27" t="s">
        <v>28</v>
      </c>
      <c r="D76" s="8" t="s">
        <v>71</v>
      </c>
      <c r="E76" s="24" t="s">
        <v>76</v>
      </c>
      <c r="F76" s="24"/>
      <c r="G76" s="24"/>
      <c r="H76" s="16"/>
      <c r="I76" s="16"/>
      <c r="J76" s="16"/>
      <c r="K76" s="109"/>
      <c r="L76" s="17"/>
      <c r="M76" s="16">
        <v>1</v>
      </c>
      <c r="N76" s="16"/>
      <c r="O76" s="16"/>
      <c r="P76" s="16"/>
      <c r="Q76" s="16"/>
      <c r="R76" s="17"/>
      <c r="S76" s="17"/>
      <c r="T76" s="16">
        <v>1</v>
      </c>
      <c r="U76" s="16"/>
      <c r="V76" s="16"/>
      <c r="W76" s="16"/>
      <c r="X76" s="16"/>
      <c r="Y76" s="17"/>
      <c r="Z76" s="17"/>
      <c r="AA76" s="16">
        <v>1</v>
      </c>
      <c r="AB76" s="16"/>
      <c r="AC76" s="16"/>
      <c r="AD76" s="16"/>
      <c r="AE76" s="16"/>
      <c r="AF76" s="17"/>
      <c r="AG76" s="17"/>
      <c r="AH76" s="16">
        <v>1</v>
      </c>
      <c r="AI76" s="16"/>
      <c r="AJ76" s="16"/>
      <c r="AK76" s="16"/>
      <c r="AL76" s="16"/>
      <c r="AM76" s="17"/>
      <c r="AN76" s="17"/>
      <c r="AO76" s="16">
        <f t="shared" si="3"/>
        <v>4</v>
      </c>
      <c r="AP76" s="16"/>
      <c r="AR76" s="19" t="str">
        <f t="shared" si="2"/>
        <v/>
      </c>
    </row>
    <row r="77" spans="1:44">
      <c r="A77" s="91" t="s">
        <v>126</v>
      </c>
      <c r="B77" s="26" t="s">
        <v>48</v>
      </c>
      <c r="C77" s="27" t="s">
        <v>115</v>
      </c>
      <c r="D77" s="8" t="s">
        <v>78</v>
      </c>
      <c r="E77" s="24" t="s">
        <v>45</v>
      </c>
      <c r="F77" s="24"/>
      <c r="G77" s="24"/>
      <c r="H77" s="16"/>
      <c r="I77" s="16"/>
      <c r="J77" s="16"/>
      <c r="K77" s="109"/>
      <c r="L77" s="17"/>
      <c r="M77" s="16"/>
      <c r="N77" s="16">
        <v>4</v>
      </c>
      <c r="O77" s="16"/>
      <c r="P77" s="16"/>
      <c r="Q77" s="16"/>
      <c r="R77" s="17"/>
      <c r="S77" s="17"/>
      <c r="T77" s="16"/>
      <c r="U77" s="16">
        <v>4</v>
      </c>
      <c r="V77" s="16"/>
      <c r="W77" s="16"/>
      <c r="X77" s="16"/>
      <c r="Y77" s="17"/>
      <c r="Z77" s="17"/>
      <c r="AA77" s="16"/>
      <c r="AB77" s="16">
        <v>4</v>
      </c>
      <c r="AC77" s="16"/>
      <c r="AD77" s="16"/>
      <c r="AE77" s="16"/>
      <c r="AF77" s="17"/>
      <c r="AG77" s="17"/>
      <c r="AH77" s="16"/>
      <c r="AI77" s="16">
        <v>4</v>
      </c>
      <c r="AJ77" s="16"/>
      <c r="AK77" s="16"/>
      <c r="AL77" s="16"/>
      <c r="AM77" s="17"/>
      <c r="AN77" s="17"/>
      <c r="AO77" s="16">
        <f t="shared" si="3"/>
        <v>16</v>
      </c>
      <c r="AP77" s="51" t="s">
        <v>165</v>
      </c>
      <c r="AQ77">
        <v>45</v>
      </c>
      <c r="AR77" s="19">
        <f t="shared" si="2"/>
        <v>36</v>
      </c>
    </row>
    <row r="78" spans="1:44" ht="18.75" hidden="1" customHeight="1">
      <c r="A78" s="91"/>
      <c r="B78" s="26" t="s">
        <v>42</v>
      </c>
      <c r="C78" s="27" t="s">
        <v>61</v>
      </c>
      <c r="D78" s="8"/>
      <c r="E78" s="24" t="s">
        <v>45</v>
      </c>
      <c r="F78" s="24"/>
      <c r="G78" s="24"/>
      <c r="H78" s="16"/>
      <c r="I78" s="16"/>
      <c r="J78" s="16"/>
      <c r="K78" s="109"/>
      <c r="L78" s="17"/>
      <c r="M78" s="16"/>
      <c r="N78" s="16"/>
      <c r="O78" s="16"/>
      <c r="P78" s="16"/>
      <c r="Q78" s="16"/>
      <c r="R78" s="17"/>
      <c r="S78" s="17"/>
      <c r="T78" s="16"/>
      <c r="U78" s="16"/>
      <c r="V78" s="16"/>
      <c r="W78" s="16"/>
      <c r="X78" s="16"/>
      <c r="Y78" s="17"/>
      <c r="Z78" s="17"/>
      <c r="AA78" s="16"/>
      <c r="AB78" s="16"/>
      <c r="AC78" s="16"/>
      <c r="AD78" s="16"/>
      <c r="AE78" s="16"/>
      <c r="AF78" s="17"/>
      <c r="AG78" s="17"/>
      <c r="AH78" s="16"/>
      <c r="AI78" s="16"/>
      <c r="AJ78" s="16"/>
      <c r="AK78" s="16"/>
      <c r="AL78" s="16"/>
      <c r="AM78" s="17"/>
      <c r="AN78" s="17"/>
      <c r="AO78" s="16">
        <f t="shared" si="3"/>
        <v>0</v>
      </c>
      <c r="AP78" s="16"/>
      <c r="AQ78">
        <v>30</v>
      </c>
      <c r="AR78" s="19">
        <f t="shared" si="2"/>
        <v>24</v>
      </c>
    </row>
    <row r="79" spans="1:44" ht="31">
      <c r="A79" s="91"/>
      <c r="B79" s="26" t="s">
        <v>50</v>
      </c>
      <c r="C79" s="27" t="s">
        <v>75</v>
      </c>
      <c r="D79" s="8" t="s">
        <v>78</v>
      </c>
      <c r="E79" s="24" t="s">
        <v>45</v>
      </c>
      <c r="F79" s="24"/>
      <c r="G79" s="24"/>
      <c r="H79" s="16"/>
      <c r="I79" s="16"/>
      <c r="J79" s="16"/>
      <c r="K79" s="109"/>
      <c r="L79" s="17"/>
      <c r="M79" s="16"/>
      <c r="N79" s="16"/>
      <c r="O79" s="16"/>
      <c r="P79" s="16">
        <v>4</v>
      </c>
      <c r="Q79" s="16"/>
      <c r="R79" s="17"/>
      <c r="S79" s="17"/>
      <c r="T79" s="16"/>
      <c r="U79" s="16"/>
      <c r="V79" s="16"/>
      <c r="W79" s="16">
        <v>4</v>
      </c>
      <c r="X79" s="16"/>
      <c r="Y79" s="17"/>
      <c r="Z79" s="17"/>
      <c r="AA79" s="16"/>
      <c r="AB79" s="16"/>
      <c r="AC79" s="16"/>
      <c r="AD79" s="16">
        <v>4</v>
      </c>
      <c r="AE79" s="16"/>
      <c r="AF79" s="17"/>
      <c r="AG79" s="17"/>
      <c r="AH79" s="16"/>
      <c r="AI79" s="16"/>
      <c r="AJ79" s="16"/>
      <c r="AK79" s="16">
        <v>4</v>
      </c>
      <c r="AL79" s="16"/>
      <c r="AM79" s="17"/>
      <c r="AN79" s="17"/>
      <c r="AO79" s="16">
        <f t="shared" si="3"/>
        <v>16</v>
      </c>
      <c r="AP79" s="51" t="s">
        <v>147</v>
      </c>
      <c r="AQ79">
        <v>45</v>
      </c>
      <c r="AR79" s="19">
        <f t="shared" si="2"/>
        <v>36</v>
      </c>
    </row>
    <row r="80" spans="1:44" ht="31">
      <c r="A80" s="91"/>
      <c r="B80" s="26" t="s">
        <v>63</v>
      </c>
      <c r="C80" s="27" t="s">
        <v>98</v>
      </c>
      <c r="D80" s="8" t="s">
        <v>78</v>
      </c>
      <c r="E80" s="24" t="s">
        <v>45</v>
      </c>
      <c r="F80" s="24"/>
      <c r="G80" s="24"/>
      <c r="H80" s="16"/>
      <c r="I80" s="16"/>
      <c r="J80" s="16">
        <v>4</v>
      </c>
      <c r="K80" s="109"/>
      <c r="L80" s="17"/>
      <c r="M80" s="16"/>
      <c r="N80" s="16"/>
      <c r="O80" s="16">
        <v>4</v>
      </c>
      <c r="P80" s="16"/>
      <c r="Q80" s="16"/>
      <c r="R80" s="17"/>
      <c r="S80" s="17"/>
      <c r="T80" s="16"/>
      <c r="U80" s="16"/>
      <c r="V80" s="16">
        <v>4</v>
      </c>
      <c r="W80" s="16"/>
      <c r="X80" s="16"/>
      <c r="Y80" s="17"/>
      <c r="Z80" s="17"/>
      <c r="AA80" s="16"/>
      <c r="AB80" s="16"/>
      <c r="AC80" s="16">
        <v>4</v>
      </c>
      <c r="AD80" s="16"/>
      <c r="AE80" s="16"/>
      <c r="AF80" s="17"/>
      <c r="AG80" s="17"/>
      <c r="AH80" s="16"/>
      <c r="AI80" s="16"/>
      <c r="AJ80" s="16"/>
      <c r="AK80" s="16"/>
      <c r="AL80" s="16"/>
      <c r="AM80" s="17"/>
      <c r="AN80" s="17"/>
      <c r="AO80" s="16">
        <f t="shared" si="3"/>
        <v>16</v>
      </c>
      <c r="AP80" s="51" t="s">
        <v>66</v>
      </c>
      <c r="AQ80">
        <v>30</v>
      </c>
      <c r="AR80" s="19">
        <f t="shared" si="2"/>
        <v>24</v>
      </c>
    </row>
    <row r="81" spans="1:44" ht="46.5">
      <c r="A81" s="91"/>
      <c r="B81" s="26" t="s">
        <v>63</v>
      </c>
      <c r="C81" s="27" t="s">
        <v>110</v>
      </c>
      <c r="D81" s="8" t="s">
        <v>78</v>
      </c>
      <c r="E81" s="24" t="s">
        <v>45</v>
      </c>
      <c r="F81" s="24"/>
      <c r="G81" s="24"/>
      <c r="H81" s="16"/>
      <c r="I81" s="16"/>
      <c r="J81" s="16"/>
      <c r="K81" s="109"/>
      <c r="L81" s="17"/>
      <c r="M81" s="16"/>
      <c r="N81" s="16"/>
      <c r="O81" s="16"/>
      <c r="P81" s="16"/>
      <c r="Q81" s="16"/>
      <c r="R81" s="17"/>
      <c r="S81" s="17"/>
      <c r="T81" s="16"/>
      <c r="U81" s="16"/>
      <c r="V81" s="16"/>
      <c r="W81" s="16"/>
      <c r="X81" s="16"/>
      <c r="Y81" s="17"/>
      <c r="Z81" s="17"/>
      <c r="AA81" s="16"/>
      <c r="AB81" s="16"/>
      <c r="AC81" s="16"/>
      <c r="AD81" s="16"/>
      <c r="AE81" s="16"/>
      <c r="AF81" s="17"/>
      <c r="AG81" s="17"/>
      <c r="AH81" s="16"/>
      <c r="AI81" s="16"/>
      <c r="AJ81" s="16">
        <v>4</v>
      </c>
      <c r="AK81" s="16"/>
      <c r="AL81" s="16"/>
      <c r="AM81" s="17"/>
      <c r="AN81" s="17"/>
      <c r="AO81" s="16">
        <f t="shared" si="3"/>
        <v>4</v>
      </c>
      <c r="AP81" s="51" t="s">
        <v>125</v>
      </c>
      <c r="AQ81">
        <v>45</v>
      </c>
      <c r="AR81" s="19">
        <f t="shared" si="2"/>
        <v>36</v>
      </c>
    </row>
    <row r="82" spans="1:44">
      <c r="A82" s="91"/>
      <c r="B82" s="26" t="s">
        <v>36</v>
      </c>
      <c r="C82" s="27" t="s">
        <v>119</v>
      </c>
      <c r="D82" s="8" t="s">
        <v>120</v>
      </c>
      <c r="E82" s="24" t="s">
        <v>45</v>
      </c>
      <c r="F82" s="24"/>
      <c r="G82" s="24"/>
      <c r="H82" s="16"/>
      <c r="I82" s="16">
        <v>4</v>
      </c>
      <c r="J82" s="16"/>
      <c r="K82" s="109"/>
      <c r="L82" s="17"/>
      <c r="M82" s="16">
        <v>4</v>
      </c>
      <c r="N82" s="16"/>
      <c r="O82" s="16"/>
      <c r="P82" s="16"/>
      <c r="Q82" s="16"/>
      <c r="R82" s="17"/>
      <c r="S82" s="17"/>
      <c r="T82" s="16">
        <v>4</v>
      </c>
      <c r="U82" s="16"/>
      <c r="V82" s="16"/>
      <c r="W82" s="16"/>
      <c r="X82" s="16"/>
      <c r="Y82" s="17"/>
      <c r="Z82" s="17"/>
      <c r="AA82" s="16">
        <v>4</v>
      </c>
      <c r="AB82" s="16"/>
      <c r="AC82" s="16"/>
      <c r="AD82" s="16"/>
      <c r="AE82" s="16"/>
      <c r="AF82" s="17"/>
      <c r="AG82" s="17"/>
      <c r="AH82" s="16">
        <v>4</v>
      </c>
      <c r="AI82" s="16"/>
      <c r="AJ82" s="16"/>
      <c r="AK82" s="16"/>
      <c r="AL82" s="16"/>
      <c r="AM82" s="17"/>
      <c r="AN82" s="17"/>
      <c r="AO82" s="16">
        <f t="shared" si="3"/>
        <v>20</v>
      </c>
      <c r="AP82" s="51" t="s">
        <v>125</v>
      </c>
      <c r="AQ82">
        <v>45</v>
      </c>
      <c r="AR82" s="19">
        <f t="shared" si="2"/>
        <v>36</v>
      </c>
    </row>
    <row r="83" spans="1:44">
      <c r="A83" s="91"/>
      <c r="B83" s="26" t="s">
        <v>36</v>
      </c>
      <c r="C83" s="27" t="s">
        <v>28</v>
      </c>
      <c r="D83" s="8" t="s">
        <v>120</v>
      </c>
      <c r="E83" s="24" t="s">
        <v>76</v>
      </c>
      <c r="F83" s="24"/>
      <c r="G83" s="24"/>
      <c r="H83" s="16"/>
      <c r="I83" s="16"/>
      <c r="J83" s="16"/>
      <c r="K83" s="109"/>
      <c r="L83" s="17"/>
      <c r="M83" s="16">
        <v>1</v>
      </c>
      <c r="N83" s="16"/>
      <c r="O83" s="16"/>
      <c r="P83" s="16"/>
      <c r="Q83" s="16"/>
      <c r="R83" s="17"/>
      <c r="S83" s="17"/>
      <c r="T83" s="16">
        <v>1</v>
      </c>
      <c r="U83" s="16"/>
      <c r="V83" s="16"/>
      <c r="W83" s="16"/>
      <c r="X83" s="16"/>
      <c r="Y83" s="17"/>
      <c r="Z83" s="17"/>
      <c r="AA83" s="16">
        <v>1</v>
      </c>
      <c r="AB83" s="16"/>
      <c r="AC83" s="16"/>
      <c r="AD83" s="16"/>
      <c r="AE83" s="16"/>
      <c r="AF83" s="17"/>
      <c r="AG83" s="17"/>
      <c r="AH83" s="16">
        <v>1</v>
      </c>
      <c r="AI83" s="16"/>
      <c r="AJ83" s="16"/>
      <c r="AK83" s="16"/>
      <c r="AL83" s="16"/>
      <c r="AM83" s="17"/>
      <c r="AN83" s="17"/>
      <c r="AO83" s="16">
        <f t="shared" si="3"/>
        <v>4</v>
      </c>
      <c r="AP83" s="16"/>
      <c r="AR83" s="19" t="str">
        <f t="shared" si="2"/>
        <v/>
      </c>
    </row>
    <row r="84" spans="1:44">
      <c r="A84" s="91" t="s">
        <v>127</v>
      </c>
      <c r="B84" s="26" t="s">
        <v>58</v>
      </c>
      <c r="C84" s="27" t="s">
        <v>59</v>
      </c>
      <c r="D84" s="8" t="s">
        <v>128</v>
      </c>
      <c r="E84" s="24" t="s">
        <v>45</v>
      </c>
      <c r="F84" s="24"/>
      <c r="G84" s="24"/>
      <c r="H84" s="16"/>
      <c r="I84" s="16">
        <v>4</v>
      </c>
      <c r="J84" s="16"/>
      <c r="K84" s="109"/>
      <c r="L84" s="17"/>
      <c r="M84" s="16"/>
      <c r="N84" s="16">
        <v>4</v>
      </c>
      <c r="O84" s="16"/>
      <c r="P84" s="16">
        <v>4</v>
      </c>
      <c r="Q84" s="16"/>
      <c r="R84" s="17"/>
      <c r="S84" s="17"/>
      <c r="T84" s="16"/>
      <c r="U84" s="16">
        <v>4</v>
      </c>
      <c r="V84" s="16"/>
      <c r="W84" s="16">
        <v>4</v>
      </c>
      <c r="X84" s="16"/>
      <c r="Y84" s="17"/>
      <c r="Z84" s="17"/>
      <c r="AA84" s="16"/>
      <c r="AB84" s="16">
        <v>4</v>
      </c>
      <c r="AC84" s="16"/>
      <c r="AD84" s="16">
        <v>4</v>
      </c>
      <c r="AE84" s="16"/>
      <c r="AF84" s="17"/>
      <c r="AG84" s="17"/>
      <c r="AH84" s="16"/>
      <c r="AI84" s="16"/>
      <c r="AJ84" s="16"/>
      <c r="AK84" s="16"/>
      <c r="AL84" s="16"/>
      <c r="AM84" s="17"/>
      <c r="AN84" s="17"/>
      <c r="AO84" s="16">
        <f t="shared" si="3"/>
        <v>28</v>
      </c>
      <c r="AP84" s="51" t="s">
        <v>166</v>
      </c>
      <c r="AQ84">
        <v>90</v>
      </c>
      <c r="AR84" s="19">
        <f t="shared" si="2"/>
        <v>72</v>
      </c>
    </row>
    <row r="85" spans="1:44" ht="31">
      <c r="A85" s="91"/>
      <c r="B85" s="26" t="s">
        <v>87</v>
      </c>
      <c r="C85" s="27" t="s">
        <v>130</v>
      </c>
      <c r="D85" s="8" t="s">
        <v>128</v>
      </c>
      <c r="E85" s="24" t="s">
        <v>45</v>
      </c>
      <c r="F85" s="24"/>
      <c r="G85" s="24"/>
      <c r="H85" s="16"/>
      <c r="I85" s="16"/>
      <c r="J85" s="16"/>
      <c r="K85" s="109"/>
      <c r="L85" s="17"/>
      <c r="M85" s="16">
        <v>4</v>
      </c>
      <c r="N85" s="16"/>
      <c r="O85" s="16"/>
      <c r="P85" s="16"/>
      <c r="Q85" s="16"/>
      <c r="R85" s="17"/>
      <c r="S85" s="17"/>
      <c r="T85" s="16"/>
      <c r="U85" s="16"/>
      <c r="V85" s="16"/>
      <c r="W85" s="16"/>
      <c r="X85" s="16"/>
      <c r="Y85" s="17"/>
      <c r="Z85" s="17"/>
      <c r="AA85" s="16"/>
      <c r="AB85" s="16"/>
      <c r="AC85" s="16"/>
      <c r="AD85" s="16"/>
      <c r="AE85" s="16"/>
      <c r="AF85" s="17"/>
      <c r="AG85" s="17"/>
      <c r="AH85" s="16"/>
      <c r="AI85" s="16"/>
      <c r="AJ85" s="16"/>
      <c r="AK85" s="16"/>
      <c r="AL85" s="16"/>
      <c r="AM85" s="17"/>
      <c r="AN85" s="17"/>
      <c r="AO85" s="16">
        <f t="shared" si="3"/>
        <v>4</v>
      </c>
      <c r="AP85" s="51" t="s">
        <v>167</v>
      </c>
      <c r="AQ85">
        <v>15</v>
      </c>
      <c r="AR85" s="19">
        <f t="shared" si="2"/>
        <v>12</v>
      </c>
    </row>
    <row r="86" spans="1:44">
      <c r="A86" s="91"/>
      <c r="B86" s="26" t="s">
        <v>87</v>
      </c>
      <c r="C86" s="27" t="s">
        <v>168</v>
      </c>
      <c r="D86" s="8" t="s">
        <v>128</v>
      </c>
      <c r="E86" s="24" t="s">
        <v>45</v>
      </c>
      <c r="F86" s="24"/>
      <c r="G86" s="24"/>
      <c r="H86" s="16"/>
      <c r="I86" s="16"/>
      <c r="J86" s="16"/>
      <c r="K86" s="109"/>
      <c r="L86" s="17"/>
      <c r="M86" s="16"/>
      <c r="N86" s="16"/>
      <c r="O86" s="16"/>
      <c r="P86" s="16"/>
      <c r="Q86" s="16"/>
      <c r="R86" s="17"/>
      <c r="S86" s="17"/>
      <c r="T86" s="16">
        <v>4</v>
      </c>
      <c r="U86" s="16"/>
      <c r="V86" s="16"/>
      <c r="W86" s="16"/>
      <c r="X86" s="16"/>
      <c r="Y86" s="17"/>
      <c r="Z86" s="17"/>
      <c r="AA86" s="16">
        <v>4</v>
      </c>
      <c r="AB86" s="16"/>
      <c r="AC86" s="16"/>
      <c r="AD86" s="16"/>
      <c r="AE86" s="16"/>
      <c r="AF86" s="17"/>
      <c r="AG86" s="17"/>
      <c r="AH86" s="16">
        <v>4</v>
      </c>
      <c r="AI86" s="16"/>
      <c r="AJ86" s="16"/>
      <c r="AK86" s="16"/>
      <c r="AL86" s="16"/>
      <c r="AM86" s="17"/>
      <c r="AN86" s="17"/>
      <c r="AO86" s="16">
        <f t="shared" si="3"/>
        <v>12</v>
      </c>
      <c r="AP86" s="51" t="s">
        <v>167</v>
      </c>
      <c r="AQ86">
        <v>15</v>
      </c>
      <c r="AR86" s="19">
        <f t="shared" si="2"/>
        <v>12</v>
      </c>
    </row>
    <row r="87" spans="1:44">
      <c r="A87" s="91"/>
      <c r="B87" s="26" t="s">
        <v>24</v>
      </c>
      <c r="C87" s="27" t="s">
        <v>25</v>
      </c>
      <c r="D87" s="8" t="s">
        <v>26</v>
      </c>
      <c r="E87" s="24" t="s">
        <v>45</v>
      </c>
      <c r="F87" s="24"/>
      <c r="G87" s="24"/>
      <c r="H87" s="16"/>
      <c r="I87" s="16"/>
      <c r="J87" s="16"/>
      <c r="K87" s="109"/>
      <c r="L87" s="17"/>
      <c r="M87" s="16"/>
      <c r="N87" s="16"/>
      <c r="O87" s="16"/>
      <c r="P87" s="16"/>
      <c r="Q87" s="16"/>
      <c r="R87" s="17"/>
      <c r="S87" s="17"/>
      <c r="T87" s="16"/>
      <c r="U87" s="16"/>
      <c r="V87" s="16"/>
      <c r="W87" s="16"/>
      <c r="X87" s="16"/>
      <c r="Y87" s="17"/>
      <c r="Z87" s="17"/>
      <c r="AA87" s="16"/>
      <c r="AB87" s="16"/>
      <c r="AC87" s="16"/>
      <c r="AD87" s="16"/>
      <c r="AE87" s="16"/>
      <c r="AF87" s="17"/>
      <c r="AG87" s="17"/>
      <c r="AH87" s="16"/>
      <c r="AI87" s="16">
        <v>4</v>
      </c>
      <c r="AJ87" s="16"/>
      <c r="AK87" s="16">
        <v>4</v>
      </c>
      <c r="AL87" s="16"/>
      <c r="AM87" s="17"/>
      <c r="AN87" s="17"/>
      <c r="AO87" s="16">
        <f t="shared" si="3"/>
        <v>8</v>
      </c>
      <c r="AP87" s="51" t="s">
        <v>114</v>
      </c>
      <c r="AQ87">
        <v>30</v>
      </c>
      <c r="AR87" s="19">
        <f t="shared" si="2"/>
        <v>24</v>
      </c>
    </row>
    <row r="88" spans="1:44">
      <c r="A88" s="91"/>
      <c r="B88" s="26" t="s">
        <v>42</v>
      </c>
      <c r="C88" s="27" t="s">
        <v>61</v>
      </c>
      <c r="D88" s="8" t="s">
        <v>128</v>
      </c>
      <c r="E88" s="24" t="s">
        <v>45</v>
      </c>
      <c r="F88" s="24"/>
      <c r="G88" s="24"/>
      <c r="H88" s="16"/>
      <c r="I88" s="16"/>
      <c r="J88" s="16">
        <v>4</v>
      </c>
      <c r="K88" s="109"/>
      <c r="L88" s="17"/>
      <c r="M88" s="16"/>
      <c r="N88" s="16"/>
      <c r="O88" s="16">
        <v>4</v>
      </c>
      <c r="P88" s="16"/>
      <c r="Q88" s="16"/>
      <c r="R88" s="17"/>
      <c r="S88" s="17"/>
      <c r="T88" s="16"/>
      <c r="U88" s="16"/>
      <c r="V88" s="16">
        <v>4</v>
      </c>
      <c r="W88" s="16"/>
      <c r="X88" s="16"/>
      <c r="Y88" s="17"/>
      <c r="Z88" s="17"/>
      <c r="AA88" s="16"/>
      <c r="AB88" s="16"/>
      <c r="AC88" s="16">
        <v>4</v>
      </c>
      <c r="AD88" s="16"/>
      <c r="AE88" s="16"/>
      <c r="AF88" s="17"/>
      <c r="AG88" s="17"/>
      <c r="AH88" s="16"/>
      <c r="AI88" s="16"/>
      <c r="AJ88" s="16">
        <v>4</v>
      </c>
      <c r="AK88" s="16"/>
      <c r="AL88" s="16"/>
      <c r="AM88" s="17"/>
      <c r="AN88" s="17"/>
      <c r="AO88" s="16">
        <f t="shared" si="3"/>
        <v>20</v>
      </c>
      <c r="AP88" s="51" t="s">
        <v>66</v>
      </c>
      <c r="AQ88">
        <v>30</v>
      </c>
      <c r="AR88" s="19">
        <f t="shared" si="2"/>
        <v>24</v>
      </c>
    </row>
    <row r="89" spans="1:44">
      <c r="A89" s="91"/>
      <c r="B89" s="26" t="s">
        <v>55</v>
      </c>
      <c r="C89" s="27" t="s">
        <v>28</v>
      </c>
      <c r="D89" s="8" t="s">
        <v>128</v>
      </c>
      <c r="E89" s="24" t="s">
        <v>76</v>
      </c>
      <c r="F89" s="24"/>
      <c r="G89" s="24"/>
      <c r="H89" s="16"/>
      <c r="I89" s="16"/>
      <c r="J89" s="16"/>
      <c r="K89" s="110"/>
      <c r="L89" s="17"/>
      <c r="M89" s="16">
        <v>1</v>
      </c>
      <c r="N89" s="16"/>
      <c r="O89" s="16"/>
      <c r="P89" s="16"/>
      <c r="Q89" s="16"/>
      <c r="R89" s="17"/>
      <c r="S89" s="17"/>
      <c r="T89" s="16">
        <v>1</v>
      </c>
      <c r="U89" s="16"/>
      <c r="V89" s="16"/>
      <c r="W89" s="16"/>
      <c r="X89" s="16"/>
      <c r="Y89" s="17"/>
      <c r="Z89" s="17"/>
      <c r="AA89" s="16">
        <v>1</v>
      </c>
      <c r="AB89" s="16"/>
      <c r="AC89" s="16"/>
      <c r="AD89" s="16"/>
      <c r="AE89" s="16"/>
      <c r="AF89" s="17"/>
      <c r="AG89" s="17"/>
      <c r="AH89" s="16">
        <v>1</v>
      </c>
      <c r="AI89" s="16"/>
      <c r="AJ89" s="16"/>
      <c r="AK89" s="16"/>
      <c r="AL89" s="16"/>
      <c r="AM89" s="17"/>
      <c r="AN89" s="17"/>
      <c r="AO89" s="16">
        <f t="shared" si="3"/>
        <v>4</v>
      </c>
      <c r="AP89" s="16"/>
      <c r="AR89" s="19" t="str">
        <f t="shared" si="2"/>
        <v/>
      </c>
    </row>
    <row r="90" spans="1:44" hidden="1">
      <c r="A90" s="9"/>
      <c r="B90" s="31"/>
      <c r="C90" s="32"/>
      <c r="D90" s="9"/>
      <c r="E90" s="33"/>
      <c r="F90" s="34"/>
      <c r="G90" s="34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40"/>
      <c r="AN90" s="40"/>
      <c r="AO90" s="19"/>
      <c r="AP90" s="19"/>
      <c r="AR90" s="19" t="str">
        <f t="shared" si="2"/>
        <v/>
      </c>
    </row>
    <row r="91" spans="1:44" hidden="1">
      <c r="A91" s="9"/>
      <c r="B91" s="31"/>
      <c r="C91" s="32"/>
      <c r="D91" s="9"/>
      <c r="E91" s="33"/>
      <c r="F91" s="34"/>
      <c r="G91" s="34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40"/>
      <c r="AN91" s="40"/>
      <c r="AO91" s="19"/>
      <c r="AP91" s="19"/>
      <c r="AR91" s="19" t="str">
        <f t="shared" si="2"/>
        <v/>
      </c>
    </row>
    <row r="92" spans="1:44" hidden="1">
      <c r="A92" s="9"/>
      <c r="B92" s="31"/>
      <c r="C92" s="32"/>
      <c r="D92" s="9"/>
      <c r="E92" s="33"/>
      <c r="F92" s="34"/>
      <c r="G92" s="34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40"/>
      <c r="AN92" s="40"/>
      <c r="AO92" s="19"/>
      <c r="AP92" s="19"/>
      <c r="AR92" s="19" t="str">
        <f t="shared" si="2"/>
        <v/>
      </c>
    </row>
    <row r="93" spans="1:44">
      <c r="A93" s="35" t="s">
        <v>132</v>
      </c>
      <c r="B93" s="2"/>
      <c r="C93" s="2"/>
      <c r="D93" s="19"/>
      <c r="E93" s="33"/>
      <c r="F93" s="33"/>
      <c r="G93" s="33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R93" s="19"/>
    </row>
    <row r="94" spans="1:44" hidden="1">
      <c r="A94" s="9"/>
      <c r="B94" s="36"/>
      <c r="C94" s="2"/>
      <c r="D94" s="19"/>
      <c r="E94" s="33"/>
      <c r="F94" s="33"/>
      <c r="G94" s="33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R94" s="19"/>
    </row>
    <row r="95" spans="1:44" hidden="1">
      <c r="A95" s="2"/>
      <c r="B95" s="3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R95" s="19" t="str">
        <f t="shared" ref="AR95" si="4">IF(AQ95="","",AQ95-(AQ95*$AS$9))</f>
        <v/>
      </c>
    </row>
    <row r="96" spans="1:44">
      <c r="AD96" s="38" t="s">
        <v>169</v>
      </c>
    </row>
    <row r="97" spans="2:31" s="3" customFormat="1" ht="18" customHeight="1">
      <c r="B97" s="95" t="s">
        <v>134</v>
      </c>
      <c r="C97" s="95"/>
      <c r="J97" s="6" t="s">
        <v>135</v>
      </c>
      <c r="AE97" s="6" t="s">
        <v>136</v>
      </c>
    </row>
    <row r="98" spans="2:31">
      <c r="AD98" s="3"/>
    </row>
    <row r="102" spans="2:31">
      <c r="J102" s="39" t="s">
        <v>137</v>
      </c>
      <c r="AE102" s="39" t="s">
        <v>138</v>
      </c>
    </row>
  </sheetData>
  <mergeCells count="78"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B7:B9"/>
    <mergeCell ref="C8:E8"/>
    <mergeCell ref="B97:C97"/>
    <mergeCell ref="A7:A9"/>
    <mergeCell ref="A10:A11"/>
    <mergeCell ref="A12:A13"/>
    <mergeCell ref="A14:A15"/>
    <mergeCell ref="A16:A18"/>
    <mergeCell ref="A19:A21"/>
    <mergeCell ref="A22:A24"/>
    <mergeCell ref="A25:A27"/>
    <mergeCell ref="A28:A32"/>
    <mergeCell ref="A33:A36"/>
    <mergeCell ref="A37:A40"/>
    <mergeCell ref="A41:A43"/>
    <mergeCell ref="A44:A47"/>
    <mergeCell ref="A48:A52"/>
    <mergeCell ref="C50:C51"/>
    <mergeCell ref="B16:B17"/>
    <mergeCell ref="B19:B20"/>
    <mergeCell ref="B22:B23"/>
    <mergeCell ref="B25:B26"/>
    <mergeCell ref="C25:C26"/>
    <mergeCell ref="A71:A76"/>
    <mergeCell ref="A77:A83"/>
    <mergeCell ref="A84:A89"/>
    <mergeCell ref="B45:B46"/>
    <mergeCell ref="B48:B49"/>
    <mergeCell ref="B50:B51"/>
    <mergeCell ref="B56:B57"/>
    <mergeCell ref="B59:B60"/>
    <mergeCell ref="A53:A55"/>
    <mergeCell ref="A56:A58"/>
    <mergeCell ref="A59:A61"/>
    <mergeCell ref="A62:A64"/>
    <mergeCell ref="A65:A70"/>
    <mergeCell ref="C56:C57"/>
    <mergeCell ref="C59:C60"/>
    <mergeCell ref="D16:D17"/>
    <mergeCell ref="D19:D20"/>
    <mergeCell ref="D22:D23"/>
    <mergeCell ref="D25:D26"/>
    <mergeCell ref="D44:D47"/>
    <mergeCell ref="D48:D52"/>
    <mergeCell ref="D53:D55"/>
    <mergeCell ref="D56:D58"/>
    <mergeCell ref="D59:D61"/>
    <mergeCell ref="C16:C17"/>
    <mergeCell ref="C19:C20"/>
    <mergeCell ref="C22:C23"/>
    <mergeCell ref="C45:C46"/>
    <mergeCell ref="C48:C49"/>
    <mergeCell ref="AQ7:AQ9"/>
    <mergeCell ref="AR7:AR9"/>
    <mergeCell ref="D62:D64"/>
    <mergeCell ref="K10:K43"/>
    <mergeCell ref="K65:K89"/>
    <mergeCell ref="AO7:AO9"/>
    <mergeCell ref="AP7:AP9"/>
    <mergeCell ref="AP16:AP17"/>
    <mergeCell ref="AP19:AP20"/>
    <mergeCell ref="AP22:AP23"/>
    <mergeCell ref="AP25:AP26"/>
    <mergeCell ref="AP45:AP46"/>
    <mergeCell ref="AP48:AP49"/>
    <mergeCell ref="AP50:AP51"/>
    <mergeCell ref="AP56:AP57"/>
    <mergeCell ref="AP59:AP60"/>
  </mergeCells>
  <printOptions horizontalCentered="1"/>
  <pageMargins left="0.24" right="0.18" top="0.49" bottom="0.35" header="0.28999999999999998" footer="0.31496062992126"/>
  <pageSetup paperSize="9" scale="69" orientation="landscape"/>
  <headerFooter differentFirst="1">
    <oddHeader>&amp;C&amp;P</oddHead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14"/>
  <sheetViews>
    <sheetView topLeftCell="A96" workbookViewId="0">
      <selection activeCell="AP77" sqref="AP77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4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9" t="s">
        <v>228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5</v>
      </c>
      <c r="G8" s="10">
        <v>6</v>
      </c>
      <c r="H8" s="7">
        <v>7</v>
      </c>
      <c r="I8" s="10">
        <v>8</v>
      </c>
      <c r="J8" s="7">
        <v>9</v>
      </c>
      <c r="K8" s="10">
        <v>10</v>
      </c>
      <c r="L8" s="7">
        <v>11</v>
      </c>
      <c r="M8" s="10">
        <v>12</v>
      </c>
      <c r="N8" s="7">
        <v>13</v>
      </c>
      <c r="O8" s="10">
        <v>14</v>
      </c>
      <c r="P8" s="7">
        <v>15</v>
      </c>
      <c r="Q8" s="10">
        <v>16</v>
      </c>
      <c r="R8" s="7">
        <v>17</v>
      </c>
      <c r="S8" s="10">
        <v>18</v>
      </c>
      <c r="T8" s="7">
        <v>19</v>
      </c>
      <c r="U8" s="10">
        <v>20</v>
      </c>
      <c r="V8" s="7">
        <v>21</v>
      </c>
      <c r="W8" s="10">
        <v>22</v>
      </c>
      <c r="X8" s="7">
        <v>23</v>
      </c>
      <c r="Y8" s="10">
        <v>24</v>
      </c>
      <c r="Z8" s="7">
        <v>25</v>
      </c>
      <c r="AA8" s="10">
        <v>26</v>
      </c>
      <c r="AB8" s="7">
        <v>27</v>
      </c>
      <c r="AC8" s="10">
        <v>28</v>
      </c>
      <c r="AD8" s="7">
        <v>29</v>
      </c>
      <c r="AE8" s="10">
        <v>30</v>
      </c>
      <c r="AF8" s="7">
        <v>31</v>
      </c>
      <c r="AG8" s="10">
        <v>1</v>
      </c>
      <c r="AH8" s="7"/>
      <c r="AI8" s="10"/>
      <c r="AJ8" s="7"/>
      <c r="AK8" s="10"/>
      <c r="AL8" s="7"/>
      <c r="AM8" s="10"/>
      <c r="AN8" s="7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s="2" customFormat="1" ht="35.25" customHeight="1">
      <c r="A10" s="75" t="s">
        <v>18</v>
      </c>
      <c r="B10" s="26" t="s">
        <v>123</v>
      </c>
      <c r="C10" s="27" t="s">
        <v>140</v>
      </c>
      <c r="D10" s="8" t="s">
        <v>22</v>
      </c>
      <c r="E10" s="43" t="s">
        <v>23</v>
      </c>
      <c r="F10" s="25">
        <v>4</v>
      </c>
      <c r="G10" s="25"/>
      <c r="H10" s="16"/>
      <c r="I10" s="16"/>
      <c r="J10" s="16"/>
      <c r="K10" s="55"/>
      <c r="L10" s="17"/>
      <c r="M10" s="16">
        <v>4</v>
      </c>
      <c r="N10" s="16"/>
      <c r="O10" s="16"/>
      <c r="P10" s="16">
        <v>4</v>
      </c>
      <c r="Q10" s="16"/>
      <c r="R10" s="17"/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 t="shared" ref="AO10:AO60" si="0">SUM(F10:AN10)</f>
        <v>12</v>
      </c>
      <c r="AP10" s="56" t="s">
        <v>27</v>
      </c>
      <c r="AQ10" s="19">
        <v>60</v>
      </c>
      <c r="AR10" s="19">
        <f t="shared" ref="AR10:AR60" si="1">IF(AQ10="","",AQ10-(AQ10*$AS$9))</f>
        <v>48</v>
      </c>
    </row>
    <row r="11" spans="1:45" s="2" customFormat="1" ht="20.25" customHeight="1">
      <c r="A11" s="75"/>
      <c r="B11" s="26" t="s">
        <v>24</v>
      </c>
      <c r="C11" s="23" t="s">
        <v>28</v>
      </c>
      <c r="D11" s="8" t="s">
        <v>29</v>
      </c>
      <c r="E11" s="44" t="s">
        <v>30</v>
      </c>
      <c r="F11" s="25">
        <v>1</v>
      </c>
      <c r="G11" s="25"/>
      <c r="H11" s="16"/>
      <c r="I11" s="16"/>
      <c r="J11" s="16"/>
      <c r="K11" s="55"/>
      <c r="L11" s="17"/>
      <c r="M11" s="16"/>
      <c r="N11" s="16"/>
      <c r="O11" s="16"/>
      <c r="P11" s="16"/>
      <c r="Q11" s="16"/>
      <c r="R11" s="17"/>
      <c r="S11" s="17"/>
      <c r="T11" s="16"/>
      <c r="U11" s="16"/>
      <c r="V11" s="16"/>
      <c r="W11" s="16"/>
      <c r="X11" s="16"/>
      <c r="Y11" s="17"/>
      <c r="Z11" s="17"/>
      <c r="AA11" s="16"/>
      <c r="AB11" s="16"/>
      <c r="AC11" s="16"/>
      <c r="AD11" s="16"/>
      <c r="AE11" s="16"/>
      <c r="AF11" s="17"/>
      <c r="AG11" s="17"/>
      <c r="AH11" s="16"/>
      <c r="AI11" s="16"/>
      <c r="AJ11" s="16"/>
      <c r="AK11" s="16"/>
      <c r="AL11" s="16"/>
      <c r="AM11" s="17"/>
      <c r="AN11" s="17"/>
      <c r="AO11" s="16">
        <f t="shared" si="0"/>
        <v>1</v>
      </c>
      <c r="AP11" s="16"/>
      <c r="AQ11" s="19"/>
      <c r="AR11" s="19" t="str">
        <f t="shared" si="1"/>
        <v/>
      </c>
    </row>
    <row r="12" spans="1:45" ht="18" customHeight="1">
      <c r="A12" s="84" t="s">
        <v>57</v>
      </c>
      <c r="B12" s="46" t="s">
        <v>32</v>
      </c>
      <c r="C12" s="46" t="s">
        <v>142</v>
      </c>
      <c r="D12" s="16" t="s">
        <v>143</v>
      </c>
      <c r="E12" s="24" t="s">
        <v>45</v>
      </c>
      <c r="F12" s="25">
        <v>4</v>
      </c>
      <c r="G12" s="25"/>
      <c r="H12" s="16"/>
      <c r="I12" s="16"/>
      <c r="J12" s="16"/>
      <c r="K12" s="55"/>
      <c r="L12" s="17"/>
      <c r="M12" s="16"/>
      <c r="N12" s="16">
        <v>4</v>
      </c>
      <c r="O12" s="16"/>
      <c r="P12" s="16"/>
      <c r="Q12" s="16"/>
      <c r="R12" s="17"/>
      <c r="S12" s="17"/>
      <c r="T12" s="16"/>
      <c r="U12" s="16">
        <v>4</v>
      </c>
      <c r="V12" s="16"/>
      <c r="W12" s="16"/>
      <c r="X12" s="16"/>
      <c r="Y12" s="17"/>
      <c r="Z12" s="17"/>
      <c r="AA12" s="16"/>
      <c r="AB12" s="16">
        <v>4</v>
      </c>
      <c r="AC12" s="16"/>
      <c r="AD12" s="16"/>
      <c r="AE12" s="16"/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0"/>
        <v>16</v>
      </c>
      <c r="AP12" s="57" t="s">
        <v>187</v>
      </c>
      <c r="AQ12" s="45">
        <v>45</v>
      </c>
      <c r="AR12" s="19">
        <f t="shared" si="1"/>
        <v>36</v>
      </c>
    </row>
    <row r="13" spans="1:45" ht="18" customHeight="1">
      <c r="A13" s="82"/>
      <c r="B13" s="46" t="s">
        <v>32</v>
      </c>
      <c r="C13" s="46" t="s">
        <v>145</v>
      </c>
      <c r="D13" s="16" t="s">
        <v>146</v>
      </c>
      <c r="E13" s="24" t="s">
        <v>45</v>
      </c>
      <c r="F13" s="25"/>
      <c r="G13" s="25"/>
      <c r="H13" s="16"/>
      <c r="I13" s="16"/>
      <c r="J13" s="16">
        <v>4</v>
      </c>
      <c r="K13" s="55"/>
      <c r="L13" s="17"/>
      <c r="M13" s="16"/>
      <c r="N13" s="16"/>
      <c r="O13" s="16"/>
      <c r="P13" s="16"/>
      <c r="Q13" s="16">
        <v>4</v>
      </c>
      <c r="R13" s="17"/>
      <c r="S13" s="17"/>
      <c r="T13" s="16"/>
      <c r="U13" s="16"/>
      <c r="V13" s="16"/>
      <c r="W13" s="16"/>
      <c r="X13" s="16">
        <v>4</v>
      </c>
      <c r="Y13" s="17"/>
      <c r="Z13" s="17"/>
      <c r="AA13" s="16"/>
      <c r="AB13" s="16"/>
      <c r="AC13" s="16"/>
      <c r="AD13" s="16"/>
      <c r="AE13" s="16">
        <v>4</v>
      </c>
      <c r="AF13" s="17"/>
      <c r="AG13" s="17"/>
      <c r="AH13" s="16"/>
      <c r="AI13" s="16"/>
      <c r="AJ13" s="16"/>
      <c r="AK13" s="16"/>
      <c r="AL13" s="16"/>
      <c r="AM13" s="17"/>
      <c r="AN13" s="17"/>
      <c r="AO13" s="16">
        <f t="shared" si="0"/>
        <v>16</v>
      </c>
      <c r="AP13" s="57" t="s">
        <v>19</v>
      </c>
      <c r="AQ13" s="45">
        <v>45</v>
      </c>
      <c r="AR13" s="19">
        <f t="shared" si="1"/>
        <v>36</v>
      </c>
    </row>
    <row r="14" spans="1:45" ht="31.5" hidden="1" customHeight="1">
      <c r="A14" s="82"/>
      <c r="B14" s="26" t="s">
        <v>32</v>
      </c>
      <c r="C14" s="49" t="s">
        <v>148</v>
      </c>
      <c r="D14" s="16" t="s">
        <v>146</v>
      </c>
      <c r="E14" s="24" t="s">
        <v>23</v>
      </c>
      <c r="F14" s="25"/>
      <c r="G14" s="25"/>
      <c r="H14" s="16"/>
      <c r="I14" s="16"/>
      <c r="J14" s="16"/>
      <c r="K14" s="55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/>
      <c r="Z14" s="17"/>
      <c r="AA14" s="16"/>
      <c r="AB14" s="16"/>
      <c r="AC14" s="16"/>
      <c r="AD14" s="16"/>
      <c r="AE14" s="16"/>
      <c r="AF14" s="17"/>
      <c r="AG14" s="17"/>
      <c r="AH14" s="16"/>
      <c r="AI14" s="16"/>
      <c r="AJ14" s="16"/>
      <c r="AK14" s="16"/>
      <c r="AL14" s="16"/>
      <c r="AM14" s="17"/>
      <c r="AN14" s="17"/>
      <c r="AO14" s="16">
        <f t="shared" si="0"/>
        <v>0</v>
      </c>
      <c r="AP14" s="54" t="s">
        <v>66</v>
      </c>
      <c r="AQ14" s="45">
        <v>45</v>
      </c>
      <c r="AR14" s="19">
        <f t="shared" si="1"/>
        <v>36</v>
      </c>
    </row>
    <row r="15" spans="1:45" ht="18.75" customHeight="1">
      <c r="A15" s="82"/>
      <c r="B15" s="26" t="s">
        <v>123</v>
      </c>
      <c r="C15" s="27" t="s">
        <v>149</v>
      </c>
      <c r="D15" s="16" t="s">
        <v>68</v>
      </c>
      <c r="E15" s="24" t="s">
        <v>45</v>
      </c>
      <c r="F15" s="25"/>
      <c r="G15" s="25">
        <v>4</v>
      </c>
      <c r="H15" s="16">
        <v>4</v>
      </c>
      <c r="I15" s="16">
        <v>4</v>
      </c>
      <c r="J15" s="16"/>
      <c r="K15" s="55"/>
      <c r="L15" s="17"/>
      <c r="M15" s="16">
        <v>4</v>
      </c>
      <c r="N15" s="16"/>
      <c r="O15" s="16">
        <v>4</v>
      </c>
      <c r="P15" s="16">
        <v>4</v>
      </c>
      <c r="Q15" s="16"/>
      <c r="R15" s="17"/>
      <c r="S15" s="17"/>
      <c r="T15" s="16">
        <v>4</v>
      </c>
      <c r="U15" s="16"/>
      <c r="V15" s="16">
        <v>4</v>
      </c>
      <c r="W15" s="16">
        <v>4</v>
      </c>
      <c r="X15" s="16"/>
      <c r="Y15" s="17"/>
      <c r="Z15" s="17"/>
      <c r="AA15" s="16">
        <v>4</v>
      </c>
      <c r="AB15" s="16"/>
      <c r="AC15" s="16">
        <v>4</v>
      </c>
      <c r="AD15" s="16">
        <v>4</v>
      </c>
      <c r="AE15" s="16"/>
      <c r="AF15" s="17"/>
      <c r="AG15" s="17"/>
      <c r="AH15" s="16"/>
      <c r="AI15" s="16"/>
      <c r="AJ15" s="16"/>
      <c r="AK15" s="16"/>
      <c r="AL15" s="16"/>
      <c r="AM15" s="17"/>
      <c r="AN15" s="17"/>
      <c r="AO15" s="16">
        <f t="shared" si="0"/>
        <v>48</v>
      </c>
      <c r="AP15" s="57" t="s">
        <v>188</v>
      </c>
      <c r="AQ15" s="45">
        <v>90</v>
      </c>
      <c r="AR15" s="19">
        <f t="shared" si="1"/>
        <v>72</v>
      </c>
    </row>
    <row r="16" spans="1:45">
      <c r="A16" s="83"/>
      <c r="B16" s="26" t="s">
        <v>24</v>
      </c>
      <c r="C16" s="26" t="s">
        <v>28</v>
      </c>
      <c r="D16" s="16" t="s">
        <v>68</v>
      </c>
      <c r="E16" s="24" t="s">
        <v>76</v>
      </c>
      <c r="F16" s="50"/>
      <c r="G16" s="50"/>
      <c r="H16" s="16"/>
      <c r="I16" s="16"/>
      <c r="J16" s="16"/>
      <c r="K16" s="55"/>
      <c r="L16" s="17"/>
      <c r="M16" s="16">
        <v>1</v>
      </c>
      <c r="N16" s="16"/>
      <c r="O16" s="16"/>
      <c r="P16" s="16"/>
      <c r="Q16" s="16"/>
      <c r="R16" s="17"/>
      <c r="S16" s="17"/>
      <c r="T16" s="16">
        <v>1</v>
      </c>
      <c r="U16" s="16"/>
      <c r="V16" s="16"/>
      <c r="W16" s="16"/>
      <c r="X16" s="16"/>
      <c r="Y16" s="17"/>
      <c r="Z16" s="17"/>
      <c r="AA16" s="16">
        <v>1</v>
      </c>
      <c r="AB16" s="16"/>
      <c r="AC16" s="16"/>
      <c r="AD16" s="16"/>
      <c r="AE16" s="16"/>
      <c r="AF16" s="17"/>
      <c r="AG16" s="17"/>
      <c r="AH16" s="16"/>
      <c r="AI16" s="16"/>
      <c r="AJ16" s="16"/>
      <c r="AK16" s="16"/>
      <c r="AL16" s="16"/>
      <c r="AM16" s="17"/>
      <c r="AN16" s="17"/>
      <c r="AO16" s="16">
        <f t="shared" si="0"/>
        <v>3</v>
      </c>
      <c r="AP16" s="16"/>
      <c r="AQ16" s="45"/>
      <c r="AR16" s="19" t="str">
        <f t="shared" si="1"/>
        <v/>
      </c>
    </row>
    <row r="17" spans="1:44" ht="18.75" customHeight="1">
      <c r="A17" s="84" t="s">
        <v>70</v>
      </c>
      <c r="B17" s="26" t="s">
        <v>32</v>
      </c>
      <c r="C17" s="26" t="s">
        <v>142</v>
      </c>
      <c r="D17" s="16" t="s">
        <v>143</v>
      </c>
      <c r="E17" s="24" t="s">
        <v>45</v>
      </c>
      <c r="F17" s="25">
        <v>4</v>
      </c>
      <c r="G17" s="25"/>
      <c r="H17" s="16"/>
      <c r="I17" s="16"/>
      <c r="J17" s="16"/>
      <c r="K17" s="55"/>
      <c r="L17" s="17"/>
      <c r="M17" s="16"/>
      <c r="N17" s="16">
        <v>4</v>
      </c>
      <c r="O17" s="16"/>
      <c r="P17" s="16"/>
      <c r="Q17" s="16"/>
      <c r="R17" s="17"/>
      <c r="S17" s="17"/>
      <c r="T17" s="16"/>
      <c r="U17" s="16">
        <v>4</v>
      </c>
      <c r="V17" s="16"/>
      <c r="W17" s="16"/>
      <c r="X17" s="16"/>
      <c r="Y17" s="17"/>
      <c r="Z17" s="17"/>
      <c r="AA17" s="16"/>
      <c r="AB17" s="16">
        <v>4</v>
      </c>
      <c r="AC17" s="16"/>
      <c r="AD17" s="16"/>
      <c r="AE17" s="16"/>
      <c r="AF17" s="17"/>
      <c r="AG17" s="17"/>
      <c r="AH17" s="16"/>
      <c r="AI17" s="16"/>
      <c r="AJ17" s="16"/>
      <c r="AK17" s="16"/>
      <c r="AL17" s="16"/>
      <c r="AM17" s="17"/>
      <c r="AN17" s="17"/>
      <c r="AO17" s="16">
        <f t="shared" si="0"/>
        <v>16</v>
      </c>
      <c r="AP17" s="56" t="s">
        <v>187</v>
      </c>
      <c r="AQ17" s="45">
        <v>45</v>
      </c>
      <c r="AR17" s="19">
        <f t="shared" si="1"/>
        <v>36</v>
      </c>
    </row>
    <row r="18" spans="1:44" ht="18" hidden="1" customHeight="1">
      <c r="A18" s="82"/>
      <c r="B18" s="26" t="s">
        <v>32</v>
      </c>
      <c r="C18" s="49" t="s">
        <v>151</v>
      </c>
      <c r="D18" s="16" t="s">
        <v>146</v>
      </c>
      <c r="E18" s="24" t="s">
        <v>45</v>
      </c>
      <c r="F18" s="25"/>
      <c r="G18" s="25"/>
      <c r="H18" s="16"/>
      <c r="I18" s="16"/>
      <c r="J18" s="16"/>
      <c r="K18" s="55"/>
      <c r="L18" s="17"/>
      <c r="M18" s="16"/>
      <c r="N18" s="16"/>
      <c r="O18" s="16"/>
      <c r="P18" s="16"/>
      <c r="Q18" s="16"/>
      <c r="R18" s="17"/>
      <c r="S18" s="17"/>
      <c r="T18" s="16"/>
      <c r="U18" s="16"/>
      <c r="V18" s="16"/>
      <c r="W18" s="16"/>
      <c r="X18" s="16"/>
      <c r="Y18" s="17"/>
      <c r="Z18" s="17"/>
      <c r="AA18" s="16"/>
      <c r="AB18" s="16"/>
      <c r="AC18" s="16"/>
      <c r="AD18" s="16"/>
      <c r="AE18" s="16"/>
      <c r="AF18" s="17"/>
      <c r="AG18" s="17"/>
      <c r="AH18" s="16"/>
      <c r="AI18" s="16"/>
      <c r="AJ18" s="16"/>
      <c r="AK18" s="16"/>
      <c r="AL18" s="16"/>
      <c r="AM18" s="17"/>
      <c r="AN18" s="17"/>
      <c r="AO18" s="16">
        <f t="shared" si="0"/>
        <v>0</v>
      </c>
      <c r="AP18" s="51" t="s">
        <v>66</v>
      </c>
      <c r="AQ18" s="45">
        <v>60</v>
      </c>
      <c r="AR18" s="19">
        <f t="shared" si="1"/>
        <v>48</v>
      </c>
    </row>
    <row r="19" spans="1:44">
      <c r="A19" s="82"/>
      <c r="B19" s="26" t="s">
        <v>123</v>
      </c>
      <c r="C19" s="49" t="s">
        <v>152</v>
      </c>
      <c r="D19" s="16" t="s">
        <v>68</v>
      </c>
      <c r="E19" s="24" t="s">
        <v>45</v>
      </c>
      <c r="F19" s="25"/>
      <c r="G19" s="25">
        <v>4</v>
      </c>
      <c r="H19" s="16">
        <v>4</v>
      </c>
      <c r="I19" s="16">
        <v>4</v>
      </c>
      <c r="J19" s="16"/>
      <c r="K19" s="55"/>
      <c r="L19" s="17"/>
      <c r="M19" s="16">
        <v>4</v>
      </c>
      <c r="N19" s="16"/>
      <c r="O19" s="16">
        <v>4</v>
      </c>
      <c r="P19" s="16">
        <v>4</v>
      </c>
      <c r="Q19" s="16"/>
      <c r="R19" s="17"/>
      <c r="S19" s="17"/>
      <c r="T19" s="16">
        <v>4</v>
      </c>
      <c r="U19" s="16"/>
      <c r="V19" s="16">
        <v>4</v>
      </c>
      <c r="W19" s="16">
        <v>4</v>
      </c>
      <c r="X19" s="16"/>
      <c r="Y19" s="17"/>
      <c r="Z19" s="17"/>
      <c r="AA19" s="16">
        <v>4</v>
      </c>
      <c r="AB19" s="16"/>
      <c r="AC19" s="16">
        <v>4</v>
      </c>
      <c r="AD19" s="16">
        <v>4</v>
      </c>
      <c r="AE19" s="16"/>
      <c r="AF19" s="17"/>
      <c r="AG19" s="17"/>
      <c r="AH19" s="16"/>
      <c r="AI19" s="16"/>
      <c r="AJ19" s="16"/>
      <c r="AK19" s="16"/>
      <c r="AL19" s="16"/>
      <c r="AM19" s="17"/>
      <c r="AN19" s="17"/>
      <c r="AO19" s="16">
        <f t="shared" si="0"/>
        <v>48</v>
      </c>
      <c r="AP19" s="56" t="s">
        <v>188</v>
      </c>
      <c r="AQ19" s="45">
        <v>90</v>
      </c>
      <c r="AR19" s="19">
        <f t="shared" si="1"/>
        <v>72</v>
      </c>
    </row>
    <row r="20" spans="1:44">
      <c r="A20" s="83"/>
      <c r="B20" s="46" t="s">
        <v>42</v>
      </c>
      <c r="C20" s="46" t="s">
        <v>28</v>
      </c>
      <c r="D20" s="16" t="s">
        <v>68</v>
      </c>
      <c r="E20" s="24" t="s">
        <v>76</v>
      </c>
      <c r="F20" s="25">
        <v>1</v>
      </c>
      <c r="G20" s="25"/>
      <c r="H20" s="16"/>
      <c r="I20" s="16"/>
      <c r="J20" s="16"/>
      <c r="K20" s="55"/>
      <c r="L20" s="17"/>
      <c r="M20" s="16">
        <v>1</v>
      </c>
      <c r="N20" s="16"/>
      <c r="O20" s="16"/>
      <c r="P20" s="16"/>
      <c r="Q20" s="16"/>
      <c r="R20" s="17"/>
      <c r="S20" s="17"/>
      <c r="T20" s="16">
        <v>1</v>
      </c>
      <c r="U20" s="16"/>
      <c r="V20" s="16"/>
      <c r="W20" s="16"/>
      <c r="X20" s="16"/>
      <c r="Y20" s="17"/>
      <c r="Z20" s="17"/>
      <c r="AA20" s="16">
        <v>1</v>
      </c>
      <c r="AB20" s="16"/>
      <c r="AC20" s="16"/>
      <c r="AD20" s="16"/>
      <c r="AE20" s="16"/>
      <c r="AF20" s="17"/>
      <c r="AG20" s="17"/>
      <c r="AH20" s="16"/>
      <c r="AI20" s="16"/>
      <c r="AJ20" s="16"/>
      <c r="AK20" s="16"/>
      <c r="AL20" s="16"/>
      <c r="AM20" s="17"/>
      <c r="AN20" s="17"/>
      <c r="AO20" s="16">
        <f t="shared" si="0"/>
        <v>4</v>
      </c>
      <c r="AP20" s="16"/>
      <c r="AQ20" s="45"/>
      <c r="AR20" s="19" t="str">
        <f t="shared" si="1"/>
        <v/>
      </c>
    </row>
    <row r="21" spans="1:44">
      <c r="A21" s="75" t="s">
        <v>77</v>
      </c>
      <c r="B21" s="26" t="s">
        <v>32</v>
      </c>
      <c r="C21" s="26" t="s">
        <v>142</v>
      </c>
      <c r="D21" s="16" t="s">
        <v>71</v>
      </c>
      <c r="E21" s="28" t="s">
        <v>45</v>
      </c>
      <c r="F21" s="25"/>
      <c r="G21" s="25"/>
      <c r="H21" s="16">
        <v>4</v>
      </c>
      <c r="I21" s="16"/>
      <c r="J21" s="16"/>
      <c r="K21" s="55"/>
      <c r="L21" s="17"/>
      <c r="M21" s="16"/>
      <c r="N21" s="16"/>
      <c r="O21" s="16">
        <v>4</v>
      </c>
      <c r="P21" s="16"/>
      <c r="Q21" s="16"/>
      <c r="R21" s="17"/>
      <c r="S21" s="17"/>
      <c r="T21" s="16"/>
      <c r="U21" s="16"/>
      <c r="V21" s="16">
        <v>4</v>
      </c>
      <c r="W21" s="16"/>
      <c r="X21" s="16"/>
      <c r="Y21" s="17"/>
      <c r="Z21" s="17"/>
      <c r="AA21" s="16"/>
      <c r="AB21" s="16"/>
      <c r="AC21" s="16">
        <v>4</v>
      </c>
      <c r="AD21" s="16"/>
      <c r="AE21" s="16"/>
      <c r="AF21" s="17"/>
      <c r="AG21" s="17"/>
      <c r="AH21" s="16"/>
      <c r="AI21" s="16"/>
      <c r="AJ21" s="16"/>
      <c r="AK21" s="16"/>
      <c r="AL21" s="16"/>
      <c r="AM21" s="17"/>
      <c r="AN21" s="17"/>
      <c r="AO21" s="16">
        <f t="shared" si="0"/>
        <v>16</v>
      </c>
      <c r="AP21" s="56" t="s">
        <v>19</v>
      </c>
      <c r="AQ21" s="45">
        <v>45</v>
      </c>
      <c r="AR21" s="19">
        <f t="shared" si="1"/>
        <v>36</v>
      </c>
    </row>
    <row r="22" spans="1:44" ht="18" hidden="1" customHeight="1">
      <c r="A22" s="75"/>
      <c r="B22" s="26" t="s">
        <v>32</v>
      </c>
      <c r="C22" s="49" t="s">
        <v>151</v>
      </c>
      <c r="D22" s="16" t="s">
        <v>146</v>
      </c>
      <c r="E22" s="24" t="s">
        <v>45</v>
      </c>
      <c r="F22" s="25"/>
      <c r="G22" s="25"/>
      <c r="H22" s="16"/>
      <c r="I22" s="16"/>
      <c r="J22" s="16"/>
      <c r="K22" s="55"/>
      <c r="L22" s="17"/>
      <c r="M22" s="16"/>
      <c r="N22" s="16"/>
      <c r="O22" s="16"/>
      <c r="P22" s="16"/>
      <c r="Q22" s="16"/>
      <c r="R22" s="17"/>
      <c r="S22" s="17"/>
      <c r="T22" s="16"/>
      <c r="U22" s="16"/>
      <c r="V22" s="16"/>
      <c r="W22" s="16"/>
      <c r="X22" s="16"/>
      <c r="Y22" s="17"/>
      <c r="Z22" s="17"/>
      <c r="AA22" s="16"/>
      <c r="AB22" s="16"/>
      <c r="AC22" s="16"/>
      <c r="AD22" s="16"/>
      <c r="AE22" s="16"/>
      <c r="AF22" s="17"/>
      <c r="AG22" s="17"/>
      <c r="AH22" s="16"/>
      <c r="AI22" s="16"/>
      <c r="AJ22" s="16"/>
      <c r="AK22" s="16"/>
      <c r="AL22" s="16"/>
      <c r="AM22" s="17"/>
      <c r="AN22" s="17"/>
      <c r="AO22" s="16">
        <f t="shared" si="0"/>
        <v>0</v>
      </c>
      <c r="AP22" s="51" t="s">
        <v>66</v>
      </c>
      <c r="AQ22" s="45">
        <v>60</v>
      </c>
      <c r="AR22" s="19">
        <f t="shared" si="1"/>
        <v>48</v>
      </c>
    </row>
    <row r="23" spans="1:44">
      <c r="A23" s="75"/>
      <c r="B23" s="26" t="s">
        <v>38</v>
      </c>
      <c r="C23" s="49" t="s">
        <v>152</v>
      </c>
      <c r="D23" s="16" t="s">
        <v>153</v>
      </c>
      <c r="E23" s="24" t="s">
        <v>45</v>
      </c>
      <c r="F23" s="25">
        <v>4</v>
      </c>
      <c r="G23" s="25">
        <v>4</v>
      </c>
      <c r="H23" s="16"/>
      <c r="I23" s="16">
        <v>4</v>
      </c>
      <c r="J23" s="16"/>
      <c r="K23" s="55"/>
      <c r="L23" s="17"/>
      <c r="M23" s="16">
        <v>4</v>
      </c>
      <c r="N23" s="16">
        <v>4</v>
      </c>
      <c r="O23" s="16"/>
      <c r="P23" s="16">
        <v>4</v>
      </c>
      <c r="Q23" s="16"/>
      <c r="R23" s="17"/>
      <c r="S23" s="17"/>
      <c r="T23" s="16">
        <v>4</v>
      </c>
      <c r="U23" s="16">
        <v>4</v>
      </c>
      <c r="V23" s="16"/>
      <c r="W23" s="16">
        <v>4</v>
      </c>
      <c r="X23" s="16"/>
      <c r="Y23" s="17"/>
      <c r="Z23" s="17"/>
      <c r="AA23" s="16">
        <v>4</v>
      </c>
      <c r="AB23" s="16">
        <v>4</v>
      </c>
      <c r="AC23" s="16"/>
      <c r="AD23" s="16">
        <v>4</v>
      </c>
      <c r="AE23" s="16"/>
      <c r="AF23" s="17"/>
      <c r="AG23" s="17"/>
      <c r="AH23" s="16"/>
      <c r="AI23" s="16"/>
      <c r="AJ23" s="16"/>
      <c r="AK23" s="16"/>
      <c r="AL23" s="16"/>
      <c r="AM23" s="17"/>
      <c r="AN23" s="17"/>
      <c r="AO23" s="16">
        <f t="shared" si="0"/>
        <v>48</v>
      </c>
      <c r="AP23" s="56" t="s">
        <v>189</v>
      </c>
      <c r="AQ23" s="45">
        <v>90</v>
      </c>
      <c r="AR23" s="19">
        <f t="shared" si="1"/>
        <v>72</v>
      </c>
    </row>
    <row r="24" spans="1:44">
      <c r="A24" s="75"/>
      <c r="B24" s="46" t="s">
        <v>38</v>
      </c>
      <c r="C24" s="46" t="s">
        <v>28</v>
      </c>
      <c r="D24" s="16" t="s">
        <v>153</v>
      </c>
      <c r="E24" s="24" t="s">
        <v>76</v>
      </c>
      <c r="F24" s="25">
        <v>1</v>
      </c>
      <c r="G24" s="25"/>
      <c r="H24" s="16"/>
      <c r="I24" s="16"/>
      <c r="J24" s="16"/>
      <c r="K24" s="55"/>
      <c r="L24" s="17"/>
      <c r="M24" s="16">
        <v>1</v>
      </c>
      <c r="N24" s="16"/>
      <c r="O24" s="16"/>
      <c r="P24" s="16"/>
      <c r="Q24" s="16"/>
      <c r="R24" s="17"/>
      <c r="S24" s="17"/>
      <c r="T24" s="16">
        <v>1</v>
      </c>
      <c r="U24" s="16"/>
      <c r="V24" s="16"/>
      <c r="W24" s="16"/>
      <c r="X24" s="16"/>
      <c r="Y24" s="17"/>
      <c r="Z24" s="17"/>
      <c r="AA24" s="16">
        <v>1</v>
      </c>
      <c r="AB24" s="16"/>
      <c r="AC24" s="16"/>
      <c r="AD24" s="16"/>
      <c r="AE24" s="16"/>
      <c r="AF24" s="17"/>
      <c r="AG24" s="17"/>
      <c r="AH24" s="16"/>
      <c r="AI24" s="16"/>
      <c r="AJ24" s="16"/>
      <c r="AK24" s="16"/>
      <c r="AL24" s="16"/>
      <c r="AM24" s="17"/>
      <c r="AN24" s="17"/>
      <c r="AO24" s="16">
        <f t="shared" si="0"/>
        <v>4</v>
      </c>
      <c r="AP24" s="16"/>
      <c r="AQ24" s="45"/>
      <c r="AR24" s="19" t="str">
        <f t="shared" si="1"/>
        <v/>
      </c>
    </row>
    <row r="25" spans="1:44" ht="18.75" customHeight="1">
      <c r="A25" s="84" t="s">
        <v>79</v>
      </c>
      <c r="B25" s="26" t="s">
        <v>55</v>
      </c>
      <c r="C25" s="27" t="s">
        <v>155</v>
      </c>
      <c r="D25" s="16" t="s">
        <v>84</v>
      </c>
      <c r="E25" s="24" t="s">
        <v>45</v>
      </c>
      <c r="F25" s="25">
        <v>4</v>
      </c>
      <c r="G25" s="25"/>
      <c r="H25" s="16"/>
      <c r="I25" s="16">
        <v>4</v>
      </c>
      <c r="J25" s="16"/>
      <c r="K25" s="55"/>
      <c r="L25" s="17"/>
      <c r="M25" s="16">
        <v>4</v>
      </c>
      <c r="N25" s="16"/>
      <c r="O25" s="16"/>
      <c r="P25" s="16"/>
      <c r="Q25" s="16">
        <v>4</v>
      </c>
      <c r="R25" s="17"/>
      <c r="S25" s="17"/>
      <c r="T25" s="16">
        <v>4</v>
      </c>
      <c r="U25" s="16"/>
      <c r="V25" s="16"/>
      <c r="W25" s="16"/>
      <c r="X25" s="16">
        <v>4</v>
      </c>
      <c r="Y25" s="17"/>
      <c r="Z25" s="17"/>
      <c r="AA25" s="16">
        <v>4</v>
      </c>
      <c r="AB25" s="16"/>
      <c r="AC25" s="16"/>
      <c r="AD25" s="16"/>
      <c r="AE25" s="16">
        <v>4</v>
      </c>
      <c r="AF25" s="17"/>
      <c r="AG25" s="17"/>
      <c r="AH25" s="16"/>
      <c r="AI25" s="16"/>
      <c r="AJ25" s="16"/>
      <c r="AK25" s="16"/>
      <c r="AL25" s="16"/>
      <c r="AM25" s="17"/>
      <c r="AN25" s="17"/>
      <c r="AO25" s="16">
        <f t="shared" si="0"/>
        <v>32</v>
      </c>
      <c r="AP25" s="56" t="s">
        <v>190</v>
      </c>
      <c r="AQ25" s="45">
        <v>90</v>
      </c>
      <c r="AR25" s="19">
        <f t="shared" si="1"/>
        <v>72</v>
      </c>
    </row>
    <row r="26" spans="1:44" ht="33" customHeight="1">
      <c r="A26" s="82"/>
      <c r="B26" s="13" t="s">
        <v>82</v>
      </c>
      <c r="C26" s="14" t="s">
        <v>157</v>
      </c>
      <c r="D26" s="18" t="s">
        <v>84</v>
      </c>
      <c r="E26" s="28" t="s">
        <v>45</v>
      </c>
      <c r="F26" s="25"/>
      <c r="G26" s="25">
        <v>4</v>
      </c>
      <c r="H26" s="16">
        <v>4</v>
      </c>
      <c r="I26" s="16"/>
      <c r="J26" s="16">
        <v>4</v>
      </c>
      <c r="K26" s="55"/>
      <c r="L26" s="17"/>
      <c r="M26" s="16"/>
      <c r="N26" s="16">
        <v>4</v>
      </c>
      <c r="O26" s="16">
        <v>4</v>
      </c>
      <c r="P26" s="16">
        <v>4</v>
      </c>
      <c r="Q26" s="16"/>
      <c r="R26" s="17"/>
      <c r="S26" s="17"/>
      <c r="T26" s="16"/>
      <c r="U26" s="16">
        <v>4</v>
      </c>
      <c r="V26" s="16">
        <v>4</v>
      </c>
      <c r="W26" s="16">
        <v>4</v>
      </c>
      <c r="X26" s="16"/>
      <c r="Y26" s="17"/>
      <c r="Z26" s="17"/>
      <c r="AA26" s="16"/>
      <c r="AB26" s="16">
        <v>4</v>
      </c>
      <c r="AC26" s="16">
        <v>4</v>
      </c>
      <c r="AD26" s="16">
        <v>4</v>
      </c>
      <c r="AE26" s="16"/>
      <c r="AF26" s="17"/>
      <c r="AG26" s="17"/>
      <c r="AH26" s="16"/>
      <c r="AI26" s="16"/>
      <c r="AJ26" s="16"/>
      <c r="AK26" s="16"/>
      <c r="AL26" s="16"/>
      <c r="AM26" s="17"/>
      <c r="AN26" s="17"/>
      <c r="AO26" s="16">
        <f t="shared" si="0"/>
        <v>48</v>
      </c>
      <c r="AP26" s="58" t="s">
        <v>191</v>
      </c>
      <c r="AQ26" s="45">
        <v>150</v>
      </c>
      <c r="AR26" s="19">
        <f t="shared" si="1"/>
        <v>120</v>
      </c>
    </row>
    <row r="27" spans="1:44">
      <c r="A27" s="83"/>
      <c r="B27" s="46" t="s">
        <v>87</v>
      </c>
      <c r="C27" s="46" t="s">
        <v>28</v>
      </c>
      <c r="D27" s="16" t="s">
        <v>84</v>
      </c>
      <c r="E27" s="24" t="s">
        <v>76</v>
      </c>
      <c r="F27" s="25"/>
      <c r="G27" s="25"/>
      <c r="H27" s="16"/>
      <c r="I27" s="16"/>
      <c r="J27" s="16"/>
      <c r="K27" s="55"/>
      <c r="L27" s="17"/>
      <c r="M27" s="16">
        <v>1</v>
      </c>
      <c r="N27" s="16"/>
      <c r="O27" s="16"/>
      <c r="P27" s="16"/>
      <c r="Q27" s="16"/>
      <c r="R27" s="17"/>
      <c r="S27" s="17"/>
      <c r="T27" s="16">
        <v>1</v>
      </c>
      <c r="U27" s="16"/>
      <c r="V27" s="16"/>
      <c r="W27" s="16"/>
      <c r="X27" s="16"/>
      <c r="Y27" s="17"/>
      <c r="Z27" s="17"/>
      <c r="AA27" s="16">
        <v>1</v>
      </c>
      <c r="AB27" s="16"/>
      <c r="AC27" s="16"/>
      <c r="AD27" s="16"/>
      <c r="AE27" s="16"/>
      <c r="AF27" s="17"/>
      <c r="AG27" s="17"/>
      <c r="AH27" s="16"/>
      <c r="AI27" s="16"/>
      <c r="AJ27" s="16"/>
      <c r="AK27" s="16"/>
      <c r="AL27" s="16"/>
      <c r="AM27" s="17"/>
      <c r="AN27" s="17"/>
      <c r="AO27" s="16">
        <f t="shared" si="0"/>
        <v>3</v>
      </c>
      <c r="AP27" s="16"/>
      <c r="AQ27" s="45"/>
      <c r="AR27" s="19" t="str">
        <f t="shared" si="1"/>
        <v/>
      </c>
    </row>
    <row r="28" spans="1:44" hidden="1">
      <c r="A28" s="84" t="s">
        <v>88</v>
      </c>
      <c r="B28" s="41"/>
      <c r="C28" s="23"/>
      <c r="D28" s="84" t="s">
        <v>44</v>
      </c>
      <c r="E28" s="15"/>
      <c r="F28" s="15"/>
      <c r="G28" s="15"/>
      <c r="H28" s="16"/>
      <c r="I28" s="16"/>
      <c r="J28" s="16"/>
      <c r="K28" s="17"/>
      <c r="L28" s="17"/>
      <c r="M28" s="16"/>
      <c r="N28" s="16"/>
      <c r="O28" s="16"/>
      <c r="P28" s="16"/>
      <c r="Q28" s="16"/>
      <c r="R28" s="17"/>
      <c r="S28" s="17"/>
      <c r="T28" s="16"/>
      <c r="U28" s="16"/>
      <c r="V28" s="16"/>
      <c r="W28" s="16"/>
      <c r="X28" s="16"/>
      <c r="Y28" s="17"/>
      <c r="Z28" s="17"/>
      <c r="AA28" s="16"/>
      <c r="AB28" s="16"/>
      <c r="AC28" s="16"/>
      <c r="AD28" s="16"/>
      <c r="AE28" s="16"/>
      <c r="AF28" s="17"/>
      <c r="AG28" s="17"/>
      <c r="AH28" s="16"/>
      <c r="AI28" s="16"/>
      <c r="AJ28" s="16"/>
      <c r="AK28" s="16"/>
      <c r="AL28" s="16"/>
      <c r="AM28" s="17"/>
      <c r="AN28" s="17"/>
      <c r="AO28" s="16">
        <f t="shared" si="0"/>
        <v>0</v>
      </c>
      <c r="AP28" s="51" t="s">
        <v>66</v>
      </c>
      <c r="AQ28" s="45">
        <v>30</v>
      </c>
      <c r="AR28" s="19">
        <f t="shared" si="1"/>
        <v>24</v>
      </c>
    </row>
    <row r="29" spans="1:44" ht="18.75" customHeight="1">
      <c r="A29" s="82"/>
      <c r="B29" s="77" t="s">
        <v>20</v>
      </c>
      <c r="C29" s="90" t="s">
        <v>152</v>
      </c>
      <c r="D29" s="82"/>
      <c r="E29" s="15" t="s">
        <v>45</v>
      </c>
      <c r="F29" s="15"/>
      <c r="G29" s="15"/>
      <c r="H29" s="16"/>
      <c r="I29" s="16"/>
      <c r="J29" s="16"/>
      <c r="K29" s="17"/>
      <c r="L29" s="17"/>
      <c r="M29" s="16"/>
      <c r="N29" s="16"/>
      <c r="O29" s="16"/>
      <c r="P29" s="16"/>
      <c r="Q29" s="16"/>
      <c r="R29" s="17">
        <v>4</v>
      </c>
      <c r="S29" s="17"/>
      <c r="T29" s="16"/>
      <c r="U29" s="16"/>
      <c r="V29" s="16"/>
      <c r="W29" s="16"/>
      <c r="X29" s="16"/>
      <c r="Y29" s="17">
        <v>4</v>
      </c>
      <c r="Z29" s="17"/>
      <c r="AA29" s="16"/>
      <c r="AB29" s="16"/>
      <c r="AC29" s="16"/>
      <c r="AD29" s="16"/>
      <c r="AE29" s="16"/>
      <c r="AF29" s="17">
        <v>4</v>
      </c>
      <c r="AG29" s="17"/>
      <c r="AH29" s="16"/>
      <c r="AI29" s="16"/>
      <c r="AJ29" s="16"/>
      <c r="AK29" s="16"/>
      <c r="AL29" s="16"/>
      <c r="AM29" s="17"/>
      <c r="AN29" s="17"/>
      <c r="AO29" s="16">
        <f t="shared" si="0"/>
        <v>12</v>
      </c>
      <c r="AP29" s="71" t="s">
        <v>192</v>
      </c>
      <c r="AQ29" s="45">
        <v>90</v>
      </c>
      <c r="AR29" s="19">
        <f t="shared" si="1"/>
        <v>72</v>
      </c>
    </row>
    <row r="30" spans="1:44" ht="18.75" customHeight="1">
      <c r="A30" s="82"/>
      <c r="B30" s="78"/>
      <c r="C30" s="80"/>
      <c r="D30" s="82"/>
      <c r="E30" s="15" t="s">
        <v>23</v>
      </c>
      <c r="F30" s="15"/>
      <c r="G30" s="15"/>
      <c r="H30" s="16"/>
      <c r="I30" s="16"/>
      <c r="J30" s="16"/>
      <c r="K30" s="17"/>
      <c r="L30" s="17"/>
      <c r="M30" s="16"/>
      <c r="N30" s="16"/>
      <c r="O30" s="16"/>
      <c r="P30" s="16"/>
      <c r="Q30" s="16"/>
      <c r="R30" s="17">
        <v>4</v>
      </c>
      <c r="S30" s="17"/>
      <c r="T30" s="16"/>
      <c r="U30" s="16"/>
      <c r="V30" s="16"/>
      <c r="W30" s="16"/>
      <c r="X30" s="16"/>
      <c r="Y30" s="17">
        <v>4</v>
      </c>
      <c r="Z30" s="17"/>
      <c r="AA30" s="16"/>
      <c r="AB30" s="16"/>
      <c r="AC30" s="16"/>
      <c r="AD30" s="16"/>
      <c r="AE30" s="16"/>
      <c r="AF30" s="17">
        <v>4</v>
      </c>
      <c r="AG30" s="17"/>
      <c r="AH30" s="16"/>
      <c r="AI30" s="16"/>
      <c r="AJ30" s="16"/>
      <c r="AK30" s="16"/>
      <c r="AL30" s="16"/>
      <c r="AM30" s="17"/>
      <c r="AN30" s="17"/>
      <c r="AO30" s="16">
        <f t="shared" si="0"/>
        <v>12</v>
      </c>
      <c r="AP30" s="88"/>
      <c r="AQ30" s="45"/>
      <c r="AR30" s="19" t="str">
        <f t="shared" si="1"/>
        <v/>
      </c>
    </row>
    <row r="31" spans="1:44">
      <c r="A31" s="83"/>
      <c r="B31" s="22" t="s">
        <v>50</v>
      </c>
      <c r="C31" s="23" t="s">
        <v>28</v>
      </c>
      <c r="D31" s="83"/>
      <c r="E31" s="24" t="s">
        <v>30</v>
      </c>
      <c r="F31" s="25"/>
      <c r="G31" s="25"/>
      <c r="H31" s="16"/>
      <c r="I31" s="16"/>
      <c r="J31" s="16"/>
      <c r="K31" s="17"/>
      <c r="L31" s="17"/>
      <c r="M31" s="16"/>
      <c r="N31" s="16"/>
      <c r="O31" s="16"/>
      <c r="P31" s="16"/>
      <c r="Q31" s="16"/>
      <c r="R31" s="17">
        <v>1</v>
      </c>
      <c r="S31" s="17"/>
      <c r="T31" s="16"/>
      <c r="U31" s="16"/>
      <c r="V31" s="16"/>
      <c r="W31" s="16"/>
      <c r="X31" s="16"/>
      <c r="Y31" s="17"/>
      <c r="Z31" s="17"/>
      <c r="AA31" s="16"/>
      <c r="AB31" s="16"/>
      <c r="AC31" s="16"/>
      <c r="AD31" s="16"/>
      <c r="AE31" s="16"/>
      <c r="AF31" s="17">
        <v>1</v>
      </c>
      <c r="AG31" s="17"/>
      <c r="AH31" s="16"/>
      <c r="AI31" s="16"/>
      <c r="AJ31" s="16"/>
      <c r="AK31" s="16"/>
      <c r="AL31" s="16"/>
      <c r="AM31" s="17"/>
      <c r="AN31" s="17"/>
      <c r="AO31" s="16">
        <f t="shared" si="0"/>
        <v>2</v>
      </c>
      <c r="AP31" s="16"/>
      <c r="AQ31" s="45"/>
      <c r="AR31" s="19" t="str">
        <f t="shared" si="1"/>
        <v/>
      </c>
    </row>
    <row r="32" spans="1:44">
      <c r="A32" s="84" t="s">
        <v>91</v>
      </c>
      <c r="B32" s="77" t="s">
        <v>36</v>
      </c>
      <c r="C32" s="90" t="s">
        <v>160</v>
      </c>
      <c r="D32" s="84" t="s">
        <v>44</v>
      </c>
      <c r="E32" s="15" t="s">
        <v>45</v>
      </c>
      <c r="F32" s="15"/>
      <c r="G32" s="15"/>
      <c r="H32" s="16"/>
      <c r="I32" s="16"/>
      <c r="J32" s="16"/>
      <c r="K32" s="17">
        <v>4</v>
      </c>
      <c r="L32" s="17"/>
      <c r="M32" s="16"/>
      <c r="N32" s="16"/>
      <c r="O32" s="16"/>
      <c r="P32" s="16"/>
      <c r="Q32" s="16"/>
      <c r="R32" s="17">
        <v>4</v>
      </c>
      <c r="S32" s="17"/>
      <c r="T32" s="16"/>
      <c r="U32" s="16"/>
      <c r="V32" s="16"/>
      <c r="W32" s="16"/>
      <c r="X32" s="16"/>
      <c r="Y32" s="17">
        <v>4</v>
      </c>
      <c r="Z32" s="17"/>
      <c r="AA32" s="16"/>
      <c r="AB32" s="16"/>
      <c r="AC32" s="16"/>
      <c r="AD32" s="16"/>
      <c r="AE32" s="16"/>
      <c r="AF32" s="17"/>
      <c r="AG32" s="17"/>
      <c r="AH32" s="16"/>
      <c r="AI32" s="16"/>
      <c r="AJ32" s="16"/>
      <c r="AK32" s="16"/>
      <c r="AL32" s="16"/>
      <c r="AM32" s="17"/>
      <c r="AN32" s="17"/>
      <c r="AO32" s="16">
        <f t="shared" si="0"/>
        <v>12</v>
      </c>
      <c r="AP32" s="85" t="s">
        <v>27</v>
      </c>
      <c r="AQ32" s="45">
        <v>60</v>
      </c>
      <c r="AR32" s="19">
        <f t="shared" si="1"/>
        <v>48</v>
      </c>
    </row>
    <row r="33" spans="1:44">
      <c r="A33" s="82"/>
      <c r="B33" s="78"/>
      <c r="C33" s="80"/>
      <c r="D33" s="82"/>
      <c r="E33" s="15" t="s">
        <v>23</v>
      </c>
      <c r="F33" s="15"/>
      <c r="G33" s="15"/>
      <c r="H33" s="16"/>
      <c r="I33" s="16"/>
      <c r="J33" s="16"/>
      <c r="K33" s="17">
        <v>4</v>
      </c>
      <c r="L33" s="17"/>
      <c r="M33" s="16"/>
      <c r="N33" s="16"/>
      <c r="O33" s="16"/>
      <c r="P33" s="16"/>
      <c r="Q33" s="16"/>
      <c r="R33" s="17">
        <v>4</v>
      </c>
      <c r="S33" s="17"/>
      <c r="T33" s="16"/>
      <c r="U33" s="16"/>
      <c r="V33" s="16"/>
      <c r="W33" s="16"/>
      <c r="X33" s="16"/>
      <c r="Y33" s="17">
        <v>4</v>
      </c>
      <c r="Z33" s="17"/>
      <c r="AA33" s="16"/>
      <c r="AB33" s="16"/>
      <c r="AC33" s="16"/>
      <c r="AD33" s="16"/>
      <c r="AE33" s="16"/>
      <c r="AF33" s="17"/>
      <c r="AG33" s="17"/>
      <c r="AH33" s="16"/>
      <c r="AI33" s="16"/>
      <c r="AJ33" s="16"/>
      <c r="AK33" s="16"/>
      <c r="AL33" s="16"/>
      <c r="AM33" s="17"/>
      <c r="AN33" s="17"/>
      <c r="AO33" s="16">
        <f t="shared" si="0"/>
        <v>12</v>
      </c>
      <c r="AP33" s="89"/>
      <c r="AQ33" s="45"/>
      <c r="AR33" s="19" t="str">
        <f t="shared" si="1"/>
        <v/>
      </c>
    </row>
    <row r="34" spans="1:44">
      <c r="A34" s="82"/>
      <c r="B34" s="77" t="s">
        <v>36</v>
      </c>
      <c r="C34" s="79" t="s">
        <v>193</v>
      </c>
      <c r="D34" s="82"/>
      <c r="E34" s="15" t="s">
        <v>45</v>
      </c>
      <c r="F34" s="15"/>
      <c r="G34" s="15"/>
      <c r="H34" s="16"/>
      <c r="I34" s="16"/>
      <c r="J34" s="16"/>
      <c r="K34" s="17"/>
      <c r="L34" s="17"/>
      <c r="M34" s="16"/>
      <c r="N34" s="16"/>
      <c r="O34" s="16"/>
      <c r="P34" s="16"/>
      <c r="Q34" s="16"/>
      <c r="R34" s="17"/>
      <c r="S34" s="17"/>
      <c r="T34" s="16"/>
      <c r="U34" s="16"/>
      <c r="V34" s="16"/>
      <c r="W34" s="16"/>
      <c r="X34" s="16"/>
      <c r="Y34" s="17"/>
      <c r="Z34" s="17"/>
      <c r="AA34" s="16"/>
      <c r="AB34" s="16"/>
      <c r="AC34" s="16"/>
      <c r="AD34" s="16"/>
      <c r="AE34" s="16"/>
      <c r="AF34" s="17">
        <v>4</v>
      </c>
      <c r="AG34" s="17"/>
      <c r="AH34" s="16"/>
      <c r="AI34" s="16"/>
      <c r="AJ34" s="16"/>
      <c r="AK34" s="16"/>
      <c r="AL34" s="16"/>
      <c r="AM34" s="17"/>
      <c r="AN34" s="17"/>
      <c r="AO34" s="16">
        <f t="shared" si="0"/>
        <v>4</v>
      </c>
      <c r="AP34" s="71" t="s">
        <v>116</v>
      </c>
      <c r="AQ34" s="45">
        <v>60</v>
      </c>
      <c r="AR34" s="19">
        <f t="shared" si="1"/>
        <v>48</v>
      </c>
    </row>
    <row r="35" spans="1:44">
      <c r="A35" s="82"/>
      <c r="B35" s="78"/>
      <c r="C35" s="80"/>
      <c r="D35" s="82"/>
      <c r="E35" s="15" t="s">
        <v>23</v>
      </c>
      <c r="F35" s="15"/>
      <c r="G35" s="15"/>
      <c r="H35" s="16"/>
      <c r="I35" s="16"/>
      <c r="J35" s="16"/>
      <c r="K35" s="17"/>
      <c r="L35" s="17"/>
      <c r="M35" s="16"/>
      <c r="N35" s="16"/>
      <c r="O35" s="16"/>
      <c r="P35" s="16"/>
      <c r="Q35" s="16"/>
      <c r="R35" s="17"/>
      <c r="S35" s="17"/>
      <c r="T35" s="16"/>
      <c r="U35" s="16"/>
      <c r="V35" s="16"/>
      <c r="W35" s="16"/>
      <c r="X35" s="16"/>
      <c r="Y35" s="17"/>
      <c r="Z35" s="17"/>
      <c r="AA35" s="16"/>
      <c r="AB35" s="16"/>
      <c r="AC35" s="16"/>
      <c r="AD35" s="16"/>
      <c r="AE35" s="16"/>
      <c r="AF35" s="17">
        <v>4</v>
      </c>
      <c r="AG35" s="17"/>
      <c r="AH35" s="16"/>
      <c r="AI35" s="16"/>
      <c r="AJ35" s="16"/>
      <c r="AK35" s="16"/>
      <c r="AL35" s="16"/>
      <c r="AM35" s="17"/>
      <c r="AN35" s="17"/>
      <c r="AO35" s="16">
        <f t="shared" si="0"/>
        <v>4</v>
      </c>
      <c r="AP35" s="88"/>
      <c r="AQ35" s="45"/>
      <c r="AR35" s="19" t="str">
        <f t="shared" si="1"/>
        <v/>
      </c>
    </row>
    <row r="36" spans="1:44">
      <c r="A36" s="83"/>
      <c r="B36" s="22" t="s">
        <v>36</v>
      </c>
      <c r="C36" s="23" t="s">
        <v>28</v>
      </c>
      <c r="D36" s="83"/>
      <c r="E36" s="24" t="s">
        <v>30</v>
      </c>
      <c r="F36" s="25"/>
      <c r="G36" s="25"/>
      <c r="H36" s="16"/>
      <c r="I36" s="16"/>
      <c r="J36" s="16"/>
      <c r="K36" s="17">
        <v>1</v>
      </c>
      <c r="L36" s="17"/>
      <c r="M36" s="16"/>
      <c r="N36" s="16"/>
      <c r="O36" s="16"/>
      <c r="P36" s="16"/>
      <c r="Q36" s="16"/>
      <c r="R36" s="17"/>
      <c r="S36" s="17"/>
      <c r="T36" s="16"/>
      <c r="U36" s="16"/>
      <c r="V36" s="16"/>
      <c r="W36" s="16"/>
      <c r="X36" s="16"/>
      <c r="Y36" s="17">
        <v>1</v>
      </c>
      <c r="Z36" s="17"/>
      <c r="AA36" s="16"/>
      <c r="AB36" s="16"/>
      <c r="AC36" s="16"/>
      <c r="AD36" s="16"/>
      <c r="AE36" s="16"/>
      <c r="AF36" s="17"/>
      <c r="AG36" s="17"/>
      <c r="AH36" s="16"/>
      <c r="AI36" s="16"/>
      <c r="AJ36" s="16"/>
      <c r="AK36" s="16"/>
      <c r="AL36" s="16"/>
      <c r="AM36" s="17"/>
      <c r="AN36" s="17"/>
      <c r="AO36" s="16">
        <f t="shared" si="0"/>
        <v>2</v>
      </c>
      <c r="AP36" s="16"/>
      <c r="AQ36" s="45"/>
      <c r="AR36" s="19" t="str">
        <f t="shared" si="1"/>
        <v/>
      </c>
    </row>
    <row r="37" spans="1:44" hidden="1">
      <c r="A37" s="84" t="s">
        <v>96</v>
      </c>
      <c r="B37" s="22" t="s">
        <v>32</v>
      </c>
      <c r="C37" s="23" t="s">
        <v>142</v>
      </c>
      <c r="D37" s="84" t="s">
        <v>40</v>
      </c>
      <c r="E37" s="29" t="s">
        <v>23</v>
      </c>
      <c r="F37" s="15"/>
      <c r="G37" s="15"/>
      <c r="H37" s="16"/>
      <c r="I37" s="16"/>
      <c r="J37" s="16"/>
      <c r="K37" s="17"/>
      <c r="L37" s="17"/>
      <c r="M37" s="16"/>
      <c r="N37" s="16"/>
      <c r="O37" s="16"/>
      <c r="P37" s="16"/>
      <c r="Q37" s="16"/>
      <c r="R37" s="17"/>
      <c r="S37" s="17"/>
      <c r="T37" s="16"/>
      <c r="U37" s="16"/>
      <c r="V37" s="16"/>
      <c r="W37" s="16"/>
      <c r="X37" s="16"/>
      <c r="Y37" s="17"/>
      <c r="Z37" s="17"/>
      <c r="AA37" s="16"/>
      <c r="AB37" s="16"/>
      <c r="AC37" s="16"/>
      <c r="AD37" s="16"/>
      <c r="AE37" s="16"/>
      <c r="AF37" s="17"/>
      <c r="AG37" s="17"/>
      <c r="AH37" s="16"/>
      <c r="AI37" s="16"/>
      <c r="AJ37" s="16"/>
      <c r="AK37" s="16"/>
      <c r="AL37" s="16"/>
      <c r="AM37" s="17"/>
      <c r="AN37" s="17"/>
      <c r="AO37" s="16">
        <f t="shared" si="0"/>
        <v>0</v>
      </c>
      <c r="AP37" s="51" t="s">
        <v>97</v>
      </c>
      <c r="AQ37" s="45">
        <v>90</v>
      </c>
      <c r="AR37" s="19">
        <f t="shared" si="1"/>
        <v>72</v>
      </c>
    </row>
    <row r="38" spans="1:44" ht="28.5" customHeight="1">
      <c r="A38" s="82"/>
      <c r="B38" s="26" t="s">
        <v>123</v>
      </c>
      <c r="C38" s="27" t="s">
        <v>152</v>
      </c>
      <c r="D38" s="82"/>
      <c r="E38" s="15" t="s">
        <v>23</v>
      </c>
      <c r="F38" s="15"/>
      <c r="G38" s="15">
        <v>4</v>
      </c>
      <c r="H38" s="16">
        <v>4</v>
      </c>
      <c r="I38" s="16"/>
      <c r="J38" s="16"/>
      <c r="K38" s="17"/>
      <c r="L38" s="17"/>
      <c r="M38" s="16"/>
      <c r="N38" s="16">
        <v>4</v>
      </c>
      <c r="O38" s="16">
        <v>4</v>
      </c>
      <c r="P38" s="16"/>
      <c r="Q38" s="16"/>
      <c r="R38" s="17"/>
      <c r="S38" s="17"/>
      <c r="T38" s="16"/>
      <c r="U38" s="16">
        <v>4</v>
      </c>
      <c r="V38" s="16">
        <v>4</v>
      </c>
      <c r="W38" s="16"/>
      <c r="X38" s="16"/>
      <c r="Y38" s="17"/>
      <c r="Z38" s="17"/>
      <c r="AA38" s="16"/>
      <c r="AB38" s="16">
        <v>4</v>
      </c>
      <c r="AC38" s="16">
        <v>4</v>
      </c>
      <c r="AD38" s="16"/>
      <c r="AE38" s="16"/>
      <c r="AF38" s="17"/>
      <c r="AG38" s="17"/>
      <c r="AH38" s="16"/>
      <c r="AI38" s="16"/>
      <c r="AJ38" s="16"/>
      <c r="AK38" s="16"/>
      <c r="AL38" s="16"/>
      <c r="AM38" s="17"/>
      <c r="AN38" s="17"/>
      <c r="AO38" s="16">
        <f t="shared" si="0"/>
        <v>32</v>
      </c>
      <c r="AP38" s="56" t="s">
        <v>150</v>
      </c>
      <c r="AQ38" s="45">
        <v>90</v>
      </c>
      <c r="AR38" s="19">
        <f t="shared" si="1"/>
        <v>72</v>
      </c>
    </row>
    <row r="39" spans="1:44">
      <c r="A39" s="83"/>
      <c r="B39" s="22" t="s">
        <v>24</v>
      </c>
      <c r="C39" s="23" t="s">
        <v>28</v>
      </c>
      <c r="D39" s="83"/>
      <c r="E39" s="24" t="s">
        <v>30</v>
      </c>
      <c r="F39" s="25"/>
      <c r="G39" s="25">
        <v>1</v>
      </c>
      <c r="H39" s="16"/>
      <c r="I39" s="16"/>
      <c r="J39" s="16"/>
      <c r="K39" s="17"/>
      <c r="L39" s="17"/>
      <c r="M39" s="16"/>
      <c r="N39" s="16"/>
      <c r="O39" s="16"/>
      <c r="P39" s="16"/>
      <c r="Q39" s="16"/>
      <c r="R39" s="17"/>
      <c r="S39" s="17"/>
      <c r="T39" s="16"/>
      <c r="U39" s="16">
        <v>1</v>
      </c>
      <c r="V39" s="16"/>
      <c r="W39" s="16"/>
      <c r="X39" s="16"/>
      <c r="Y39" s="17"/>
      <c r="Z39" s="17"/>
      <c r="AA39" s="16"/>
      <c r="AB39" s="16"/>
      <c r="AC39" s="16"/>
      <c r="AD39" s="16"/>
      <c r="AE39" s="16"/>
      <c r="AF39" s="17"/>
      <c r="AG39" s="17"/>
      <c r="AH39" s="16"/>
      <c r="AI39" s="16"/>
      <c r="AJ39" s="16"/>
      <c r="AK39" s="16"/>
      <c r="AL39" s="16"/>
      <c r="AM39" s="17"/>
      <c r="AN39" s="17"/>
      <c r="AO39" s="16">
        <f t="shared" si="0"/>
        <v>2</v>
      </c>
      <c r="AP39" s="16"/>
      <c r="AQ39" s="45"/>
      <c r="AR39" s="19" t="str">
        <f t="shared" si="1"/>
        <v/>
      </c>
    </row>
    <row r="40" spans="1:44" ht="18" customHeight="1">
      <c r="A40" s="84" t="s">
        <v>101</v>
      </c>
      <c r="B40" s="77" t="s">
        <v>38</v>
      </c>
      <c r="C40" s="77" t="s">
        <v>152</v>
      </c>
      <c r="D40" s="84" t="s">
        <v>56</v>
      </c>
      <c r="E40" s="15" t="s">
        <v>45</v>
      </c>
      <c r="F40" s="15"/>
      <c r="G40" s="15"/>
      <c r="H40" s="16"/>
      <c r="I40" s="16"/>
      <c r="J40" s="16"/>
      <c r="K40" s="17"/>
      <c r="L40" s="17"/>
      <c r="M40" s="16"/>
      <c r="N40" s="16"/>
      <c r="O40" s="16"/>
      <c r="P40" s="16"/>
      <c r="Q40" s="16"/>
      <c r="R40" s="17">
        <v>4</v>
      </c>
      <c r="S40" s="17"/>
      <c r="T40" s="16"/>
      <c r="U40" s="16"/>
      <c r="V40" s="16"/>
      <c r="W40" s="16"/>
      <c r="X40" s="16"/>
      <c r="Y40" s="17">
        <v>4</v>
      </c>
      <c r="Z40" s="17"/>
      <c r="AA40" s="16"/>
      <c r="AB40" s="16"/>
      <c r="AC40" s="16"/>
      <c r="AD40" s="16"/>
      <c r="AE40" s="16"/>
      <c r="AF40" s="17">
        <v>4</v>
      </c>
      <c r="AG40" s="17"/>
      <c r="AH40" s="16"/>
      <c r="AI40" s="16"/>
      <c r="AJ40" s="16"/>
      <c r="AK40" s="16"/>
      <c r="AL40" s="16"/>
      <c r="AM40" s="17"/>
      <c r="AN40" s="17"/>
      <c r="AO40" s="16">
        <f t="shared" si="0"/>
        <v>12</v>
      </c>
      <c r="AP40" s="85" t="s">
        <v>194</v>
      </c>
      <c r="AQ40" s="45">
        <v>90</v>
      </c>
      <c r="AR40" s="19">
        <f t="shared" si="1"/>
        <v>72</v>
      </c>
    </row>
    <row r="41" spans="1:44">
      <c r="A41" s="82"/>
      <c r="B41" s="78"/>
      <c r="C41" s="78"/>
      <c r="D41" s="82"/>
      <c r="E41" s="15" t="s">
        <v>23</v>
      </c>
      <c r="F41" s="15"/>
      <c r="G41" s="15"/>
      <c r="H41" s="16"/>
      <c r="I41" s="16"/>
      <c r="J41" s="16"/>
      <c r="K41" s="17"/>
      <c r="L41" s="17"/>
      <c r="M41" s="16"/>
      <c r="N41" s="16"/>
      <c r="O41" s="16"/>
      <c r="P41" s="16"/>
      <c r="Q41" s="16">
        <v>4</v>
      </c>
      <c r="R41" s="17">
        <v>4</v>
      </c>
      <c r="S41" s="17"/>
      <c r="T41" s="16"/>
      <c r="U41" s="16"/>
      <c r="V41" s="16"/>
      <c r="W41" s="16"/>
      <c r="X41" s="16">
        <v>4</v>
      </c>
      <c r="Y41" s="17">
        <v>4</v>
      </c>
      <c r="Z41" s="17"/>
      <c r="AA41" s="16"/>
      <c r="AB41" s="16"/>
      <c r="AC41" s="16"/>
      <c r="AD41" s="16"/>
      <c r="AE41" s="16">
        <v>4</v>
      </c>
      <c r="AF41" s="17">
        <v>4</v>
      </c>
      <c r="AG41" s="17"/>
      <c r="AH41" s="16"/>
      <c r="AI41" s="16"/>
      <c r="AJ41" s="16"/>
      <c r="AK41" s="16"/>
      <c r="AL41" s="16"/>
      <c r="AM41" s="17"/>
      <c r="AN41" s="17"/>
      <c r="AO41" s="16">
        <f t="shared" si="0"/>
        <v>24</v>
      </c>
      <c r="AP41" s="89"/>
      <c r="AQ41" s="45"/>
      <c r="AR41" s="19" t="str">
        <f t="shared" si="1"/>
        <v/>
      </c>
    </row>
    <row r="42" spans="1:44">
      <c r="A42" s="83"/>
      <c r="B42" s="22" t="s">
        <v>55</v>
      </c>
      <c r="C42" s="23" t="s">
        <v>28</v>
      </c>
      <c r="D42" s="83"/>
      <c r="E42" s="24" t="s">
        <v>30</v>
      </c>
      <c r="F42" s="25"/>
      <c r="G42" s="25"/>
      <c r="H42" s="16"/>
      <c r="I42" s="16"/>
      <c r="J42" s="16"/>
      <c r="K42" s="17"/>
      <c r="L42" s="17"/>
      <c r="M42" s="16"/>
      <c r="N42" s="16"/>
      <c r="O42" s="16"/>
      <c r="P42" s="16"/>
      <c r="Q42" s="16">
        <v>1</v>
      </c>
      <c r="R42" s="17"/>
      <c r="S42" s="17"/>
      <c r="T42" s="16"/>
      <c r="U42" s="16"/>
      <c r="V42" s="16"/>
      <c r="W42" s="16"/>
      <c r="X42" s="16"/>
      <c r="Y42" s="17"/>
      <c r="Z42" s="17"/>
      <c r="AA42" s="16"/>
      <c r="AB42" s="16"/>
      <c r="AC42" s="16"/>
      <c r="AD42" s="16"/>
      <c r="AE42" s="16">
        <v>1</v>
      </c>
      <c r="AF42" s="17"/>
      <c r="AG42" s="17"/>
      <c r="AH42" s="16"/>
      <c r="AI42" s="16"/>
      <c r="AJ42" s="16"/>
      <c r="AK42" s="16"/>
      <c r="AL42" s="16"/>
      <c r="AM42" s="17"/>
      <c r="AN42" s="17"/>
      <c r="AO42" s="16">
        <f t="shared" si="0"/>
        <v>2</v>
      </c>
      <c r="AP42" s="16"/>
      <c r="AQ42" s="45"/>
      <c r="AR42" s="19" t="str">
        <f t="shared" si="1"/>
        <v/>
      </c>
    </row>
    <row r="43" spans="1:44" hidden="1">
      <c r="A43" s="84" t="s">
        <v>103</v>
      </c>
      <c r="B43" s="77" t="s">
        <v>48</v>
      </c>
      <c r="C43" s="90" t="s">
        <v>152</v>
      </c>
      <c r="D43" s="84" t="s">
        <v>105</v>
      </c>
      <c r="E43" s="15" t="s">
        <v>45</v>
      </c>
      <c r="F43" s="15"/>
      <c r="G43" s="15"/>
      <c r="H43" s="16"/>
      <c r="I43" s="16"/>
      <c r="J43" s="16"/>
      <c r="K43" s="17"/>
      <c r="L43" s="17"/>
      <c r="M43" s="16"/>
      <c r="N43" s="16"/>
      <c r="O43" s="16"/>
      <c r="P43" s="16"/>
      <c r="Q43" s="16"/>
      <c r="R43" s="17"/>
      <c r="S43" s="17"/>
      <c r="T43" s="16"/>
      <c r="U43" s="16"/>
      <c r="V43" s="16"/>
      <c r="W43" s="16"/>
      <c r="X43" s="16"/>
      <c r="Y43" s="17"/>
      <c r="Z43" s="17"/>
      <c r="AA43" s="16"/>
      <c r="AB43" s="16"/>
      <c r="AC43" s="16"/>
      <c r="AD43" s="16"/>
      <c r="AE43" s="16"/>
      <c r="AF43" s="17"/>
      <c r="AG43" s="17"/>
      <c r="AH43" s="16"/>
      <c r="AI43" s="16"/>
      <c r="AJ43" s="16"/>
      <c r="AK43" s="16"/>
      <c r="AL43" s="16"/>
      <c r="AM43" s="17"/>
      <c r="AN43" s="17"/>
      <c r="AO43" s="16">
        <f t="shared" si="0"/>
        <v>0</v>
      </c>
      <c r="AP43" s="85" t="s">
        <v>214</v>
      </c>
      <c r="AQ43" s="45">
        <v>90</v>
      </c>
      <c r="AR43" s="19">
        <f t="shared" si="1"/>
        <v>72</v>
      </c>
    </row>
    <row r="44" spans="1:44" ht="27" customHeight="1">
      <c r="A44" s="82"/>
      <c r="B44" s="78"/>
      <c r="C44" s="80"/>
      <c r="D44" s="82"/>
      <c r="E44" s="15" t="s">
        <v>23</v>
      </c>
      <c r="F44" s="15"/>
      <c r="G44" s="15"/>
      <c r="H44" s="16"/>
      <c r="I44" s="16"/>
      <c r="J44" s="16"/>
      <c r="K44" s="17"/>
      <c r="L44" s="17"/>
      <c r="M44" s="16"/>
      <c r="N44" s="16"/>
      <c r="O44" s="16">
        <v>4</v>
      </c>
      <c r="P44" s="16">
        <v>4</v>
      </c>
      <c r="Q44" s="16"/>
      <c r="R44" s="17"/>
      <c r="S44" s="17"/>
      <c r="T44" s="16"/>
      <c r="U44" s="16"/>
      <c r="V44" s="16">
        <v>4</v>
      </c>
      <c r="W44" s="16">
        <v>4</v>
      </c>
      <c r="X44" s="16"/>
      <c r="Y44" s="17"/>
      <c r="Z44" s="17"/>
      <c r="AA44" s="16"/>
      <c r="AB44" s="16"/>
      <c r="AC44" s="16">
        <v>4</v>
      </c>
      <c r="AD44" s="16">
        <v>4</v>
      </c>
      <c r="AE44" s="16"/>
      <c r="AF44" s="17"/>
      <c r="AG44" s="17"/>
      <c r="AH44" s="16"/>
      <c r="AI44" s="16"/>
      <c r="AJ44" s="16"/>
      <c r="AK44" s="16"/>
      <c r="AL44" s="16"/>
      <c r="AM44" s="17"/>
      <c r="AN44" s="17"/>
      <c r="AO44" s="16">
        <f t="shared" si="0"/>
        <v>24</v>
      </c>
      <c r="AP44" s="89"/>
      <c r="AQ44" s="45">
        <v>90</v>
      </c>
      <c r="AR44" s="19">
        <f t="shared" si="1"/>
        <v>72</v>
      </c>
    </row>
    <row r="45" spans="1:44">
      <c r="A45" s="83"/>
      <c r="B45" s="22" t="s">
        <v>87</v>
      </c>
      <c r="C45" s="23" t="s">
        <v>28</v>
      </c>
      <c r="D45" s="83"/>
      <c r="E45" s="24" t="s">
        <v>30</v>
      </c>
      <c r="F45" s="25"/>
      <c r="G45" s="25"/>
      <c r="H45" s="16"/>
      <c r="I45" s="16"/>
      <c r="J45" s="16"/>
      <c r="K45" s="17"/>
      <c r="L45" s="17"/>
      <c r="M45" s="16"/>
      <c r="N45" s="16"/>
      <c r="O45" s="16">
        <v>1</v>
      </c>
      <c r="P45" s="16"/>
      <c r="Q45" s="16"/>
      <c r="R45" s="17"/>
      <c r="S45" s="17"/>
      <c r="T45" s="16"/>
      <c r="U45" s="16"/>
      <c r="V45" s="16"/>
      <c r="W45" s="16"/>
      <c r="X45" s="16"/>
      <c r="Y45" s="17"/>
      <c r="Z45" s="17"/>
      <c r="AA45" s="16"/>
      <c r="AB45" s="16"/>
      <c r="AC45" s="16">
        <v>1</v>
      </c>
      <c r="AD45" s="16"/>
      <c r="AE45" s="16"/>
      <c r="AF45" s="17"/>
      <c r="AG45" s="17"/>
      <c r="AH45" s="16"/>
      <c r="AI45" s="16"/>
      <c r="AJ45" s="16"/>
      <c r="AK45" s="16"/>
      <c r="AL45" s="16"/>
      <c r="AM45" s="17"/>
      <c r="AN45" s="17"/>
      <c r="AO45" s="16">
        <f t="shared" si="0"/>
        <v>2</v>
      </c>
      <c r="AP45" s="16"/>
      <c r="AQ45" s="45"/>
      <c r="AR45" s="19" t="str">
        <f t="shared" si="1"/>
        <v/>
      </c>
    </row>
    <row r="46" spans="1:44" ht="31" customHeight="1">
      <c r="A46" s="91" t="s">
        <v>107</v>
      </c>
      <c r="B46" s="26" t="s">
        <v>42</v>
      </c>
      <c r="C46" s="27" t="s">
        <v>61</v>
      </c>
      <c r="D46" s="84" t="s">
        <v>108</v>
      </c>
      <c r="E46" s="28" t="s">
        <v>109</v>
      </c>
      <c r="F46" s="24"/>
      <c r="G46" s="24"/>
      <c r="H46" s="16">
        <v>4</v>
      </c>
      <c r="I46" s="16"/>
      <c r="J46" s="16"/>
      <c r="K46" s="17"/>
      <c r="L46" s="17"/>
      <c r="M46" s="16"/>
      <c r="N46" s="16"/>
      <c r="O46" s="16"/>
      <c r="P46" s="16"/>
      <c r="Q46" s="16"/>
      <c r="R46" s="17"/>
      <c r="S46" s="17"/>
      <c r="T46" s="16"/>
      <c r="U46" s="16"/>
      <c r="V46" s="16"/>
      <c r="W46" s="16"/>
      <c r="X46" s="16"/>
      <c r="Y46" s="17"/>
      <c r="Z46" s="17"/>
      <c r="AA46" s="16"/>
      <c r="AB46" s="16"/>
      <c r="AC46" s="16"/>
      <c r="AD46" s="16"/>
      <c r="AE46" s="16"/>
      <c r="AF46" s="17"/>
      <c r="AG46" s="17"/>
      <c r="AH46" s="16"/>
      <c r="AI46" s="16"/>
      <c r="AJ46" s="16"/>
      <c r="AK46" s="16"/>
      <c r="AL46" s="16"/>
      <c r="AM46" s="17"/>
      <c r="AN46" s="17"/>
      <c r="AO46" s="16">
        <f t="shared" si="0"/>
        <v>4</v>
      </c>
      <c r="AP46" s="56" t="s">
        <v>66</v>
      </c>
      <c r="AQ46" s="45">
        <v>30</v>
      </c>
      <c r="AR46" s="19">
        <f t="shared" si="1"/>
        <v>24</v>
      </c>
    </row>
    <row r="47" spans="1:44" ht="31" customHeight="1">
      <c r="A47" s="91"/>
      <c r="B47" s="26" t="s">
        <v>48</v>
      </c>
      <c r="C47" s="27" t="s">
        <v>195</v>
      </c>
      <c r="D47" s="82"/>
      <c r="E47" s="28" t="s">
        <v>109</v>
      </c>
      <c r="F47" s="24"/>
      <c r="G47" s="24"/>
      <c r="H47" s="16"/>
      <c r="I47" s="16"/>
      <c r="J47" s="16"/>
      <c r="K47" s="17"/>
      <c r="L47" s="17"/>
      <c r="M47" s="16"/>
      <c r="N47" s="16"/>
      <c r="O47" s="16"/>
      <c r="P47" s="16"/>
      <c r="Q47" s="16"/>
      <c r="R47" s="17"/>
      <c r="S47" s="17"/>
      <c r="T47" s="16"/>
      <c r="U47" s="16"/>
      <c r="V47" s="16"/>
      <c r="W47" s="16"/>
      <c r="X47" s="16"/>
      <c r="Y47" s="17"/>
      <c r="Z47" s="17"/>
      <c r="AA47" s="16"/>
      <c r="AB47" s="16"/>
      <c r="AC47" s="16"/>
      <c r="AD47" s="16">
        <v>4</v>
      </c>
      <c r="AE47" s="16"/>
      <c r="AF47" s="17"/>
      <c r="AG47" s="17"/>
      <c r="AH47" s="16"/>
      <c r="AI47" s="16"/>
      <c r="AJ47" s="16"/>
      <c r="AK47" s="16"/>
      <c r="AL47" s="16"/>
      <c r="AM47" s="17"/>
      <c r="AN47" s="17"/>
      <c r="AO47" s="16">
        <f t="shared" si="0"/>
        <v>4</v>
      </c>
      <c r="AP47" s="56" t="s">
        <v>196</v>
      </c>
      <c r="AQ47" s="45">
        <v>15</v>
      </c>
      <c r="AR47" s="19">
        <f t="shared" si="1"/>
        <v>12</v>
      </c>
    </row>
    <row r="48" spans="1:44" ht="31">
      <c r="A48" s="91"/>
      <c r="B48" s="59" t="s">
        <v>117</v>
      </c>
      <c r="C48" s="60" t="s">
        <v>118</v>
      </c>
      <c r="D48" s="83"/>
      <c r="E48" s="28" t="s">
        <v>109</v>
      </c>
      <c r="F48" s="24"/>
      <c r="G48" s="24"/>
      <c r="H48" s="16"/>
      <c r="I48" s="16">
        <v>4</v>
      </c>
      <c r="J48" s="16"/>
      <c r="K48" s="17"/>
      <c r="L48" s="17"/>
      <c r="M48" s="16"/>
      <c r="N48" s="16"/>
      <c r="O48" s="16">
        <v>4</v>
      </c>
      <c r="P48" s="16">
        <v>4</v>
      </c>
      <c r="Q48" s="16"/>
      <c r="R48" s="17"/>
      <c r="S48" s="17"/>
      <c r="T48" s="16"/>
      <c r="U48" s="16"/>
      <c r="V48" s="16">
        <v>4</v>
      </c>
      <c r="W48" s="16">
        <v>4</v>
      </c>
      <c r="X48" s="16"/>
      <c r="Y48" s="17"/>
      <c r="Z48" s="17"/>
      <c r="AA48" s="16"/>
      <c r="AB48" s="16"/>
      <c r="AC48" s="16">
        <v>4</v>
      </c>
      <c r="AD48" s="16"/>
      <c r="AE48" s="16"/>
      <c r="AF48" s="17"/>
      <c r="AG48" s="17"/>
      <c r="AH48" s="16"/>
      <c r="AI48" s="16"/>
      <c r="AJ48" s="16"/>
      <c r="AK48" s="16"/>
      <c r="AL48" s="16"/>
      <c r="AM48" s="17"/>
      <c r="AN48" s="17"/>
      <c r="AO48" s="16">
        <f t="shared" si="0"/>
        <v>24</v>
      </c>
      <c r="AP48" s="56" t="s">
        <v>66</v>
      </c>
      <c r="AQ48" s="45">
        <v>30</v>
      </c>
      <c r="AR48" s="19">
        <f t="shared" si="1"/>
        <v>24</v>
      </c>
    </row>
    <row r="49" spans="1:44">
      <c r="A49" s="91"/>
      <c r="B49" s="77" t="s">
        <v>63</v>
      </c>
      <c r="C49" s="79" t="s">
        <v>67</v>
      </c>
      <c r="D49" s="81" t="s">
        <v>105</v>
      </c>
      <c r="E49" s="15" t="s">
        <v>45</v>
      </c>
      <c r="F49" s="24"/>
      <c r="G49" s="24"/>
      <c r="H49" s="16"/>
      <c r="I49" s="16"/>
      <c r="J49" s="16"/>
      <c r="K49" s="17"/>
      <c r="L49" s="17"/>
      <c r="M49" s="16"/>
      <c r="N49" s="16"/>
      <c r="O49" s="16"/>
      <c r="P49" s="16"/>
      <c r="Q49" s="16"/>
      <c r="R49" s="17">
        <v>4</v>
      </c>
      <c r="S49" s="17">
        <v>4</v>
      </c>
      <c r="T49" s="16"/>
      <c r="U49" s="16"/>
      <c r="V49" s="16"/>
      <c r="W49" s="16"/>
      <c r="X49" s="16"/>
      <c r="Y49" s="17">
        <v>4</v>
      </c>
      <c r="Z49" s="17">
        <v>4</v>
      </c>
      <c r="AA49" s="16"/>
      <c r="AB49" s="16"/>
      <c r="AC49" s="16"/>
      <c r="AD49" s="16"/>
      <c r="AE49" s="16"/>
      <c r="AF49" s="17">
        <v>4</v>
      </c>
      <c r="AG49" s="17">
        <v>4</v>
      </c>
      <c r="AH49" s="16"/>
      <c r="AI49" s="16"/>
      <c r="AJ49" s="16"/>
      <c r="AK49" s="16"/>
      <c r="AL49" s="16"/>
      <c r="AM49" s="17"/>
      <c r="AN49" s="17"/>
      <c r="AO49" s="16">
        <f t="shared" si="0"/>
        <v>24</v>
      </c>
      <c r="AP49" s="85" t="s">
        <v>60</v>
      </c>
      <c r="AQ49" s="45">
        <v>60</v>
      </c>
      <c r="AR49" s="19">
        <f t="shared" si="1"/>
        <v>48</v>
      </c>
    </row>
    <row r="50" spans="1:44">
      <c r="A50" s="91"/>
      <c r="B50" s="78"/>
      <c r="C50" s="80"/>
      <c r="D50" s="82"/>
      <c r="E50" s="15" t="s">
        <v>23</v>
      </c>
      <c r="F50" s="24"/>
      <c r="G50" s="24"/>
      <c r="H50" s="16"/>
      <c r="I50" s="16"/>
      <c r="J50" s="16"/>
      <c r="K50" s="17"/>
      <c r="L50" s="17"/>
      <c r="M50" s="16"/>
      <c r="N50" s="16"/>
      <c r="O50" s="16"/>
      <c r="P50" s="16"/>
      <c r="Q50" s="16"/>
      <c r="R50" s="17">
        <v>4</v>
      </c>
      <c r="S50" s="17">
        <v>4</v>
      </c>
      <c r="T50" s="16"/>
      <c r="U50" s="16"/>
      <c r="V50" s="16"/>
      <c r="W50" s="16"/>
      <c r="X50" s="16"/>
      <c r="Y50" s="17">
        <v>4</v>
      </c>
      <c r="Z50" s="17">
        <v>4</v>
      </c>
      <c r="AA50" s="16"/>
      <c r="AB50" s="16"/>
      <c r="AC50" s="16"/>
      <c r="AD50" s="16"/>
      <c r="AE50" s="16"/>
      <c r="AF50" s="17">
        <v>4</v>
      </c>
      <c r="AG50" s="17">
        <v>4</v>
      </c>
      <c r="AH50" s="16"/>
      <c r="AI50" s="16"/>
      <c r="AJ50" s="16"/>
      <c r="AK50" s="16"/>
      <c r="AL50" s="16"/>
      <c r="AM50" s="17"/>
      <c r="AN50" s="17"/>
      <c r="AO50" s="16">
        <f t="shared" si="0"/>
        <v>24</v>
      </c>
      <c r="AP50" s="86"/>
      <c r="AQ50" s="45"/>
      <c r="AR50" s="19"/>
    </row>
    <row r="51" spans="1:44">
      <c r="A51" s="91"/>
      <c r="B51" s="26" t="s">
        <v>63</v>
      </c>
      <c r="C51" s="26" t="s">
        <v>28</v>
      </c>
      <c r="D51" s="83"/>
      <c r="E51" s="24" t="s">
        <v>30</v>
      </c>
      <c r="F51" s="24"/>
      <c r="G51" s="24"/>
      <c r="H51" s="16"/>
      <c r="I51" s="16"/>
      <c r="J51" s="16"/>
      <c r="K51" s="17"/>
      <c r="L51" s="17"/>
      <c r="M51" s="16"/>
      <c r="N51" s="16"/>
      <c r="O51" s="16"/>
      <c r="P51" s="16"/>
      <c r="Q51" s="16"/>
      <c r="R51" s="17">
        <v>1</v>
      </c>
      <c r="S51" s="17"/>
      <c r="T51" s="16"/>
      <c r="U51" s="16"/>
      <c r="V51" s="16"/>
      <c r="W51" s="16"/>
      <c r="X51" s="16"/>
      <c r="Y51" s="17"/>
      <c r="Z51" s="17"/>
      <c r="AA51" s="16"/>
      <c r="AB51" s="16"/>
      <c r="AC51" s="16"/>
      <c r="AD51" s="16"/>
      <c r="AE51" s="16"/>
      <c r="AF51" s="17">
        <v>1</v>
      </c>
      <c r="AG51" s="17"/>
      <c r="AH51" s="16"/>
      <c r="AI51" s="16"/>
      <c r="AJ51" s="16"/>
      <c r="AK51" s="16"/>
      <c r="AL51" s="16"/>
      <c r="AM51" s="17"/>
      <c r="AN51" s="17"/>
      <c r="AO51" s="16">
        <f t="shared" si="0"/>
        <v>2</v>
      </c>
      <c r="AP51" s="16"/>
      <c r="AQ51" s="45"/>
      <c r="AR51" s="19" t="str">
        <f t="shared" si="1"/>
        <v/>
      </c>
    </row>
    <row r="52" spans="1:44" ht="46.5">
      <c r="A52" s="91" t="s">
        <v>113</v>
      </c>
      <c r="B52" s="26" t="s">
        <v>63</v>
      </c>
      <c r="C52" s="27" t="s">
        <v>110</v>
      </c>
      <c r="D52" s="8" t="s">
        <v>65</v>
      </c>
      <c r="E52" s="24" t="s">
        <v>45</v>
      </c>
      <c r="F52" s="24"/>
      <c r="G52" s="25">
        <v>4</v>
      </c>
      <c r="H52" s="16"/>
      <c r="I52" s="16"/>
      <c r="J52" s="16"/>
      <c r="K52" s="55"/>
      <c r="L52" s="17"/>
      <c r="M52" s="16"/>
      <c r="N52" s="16">
        <v>4</v>
      </c>
      <c r="O52" s="16"/>
      <c r="P52" s="16"/>
      <c r="Q52" s="16"/>
      <c r="R52" s="17"/>
      <c r="S52" s="17"/>
      <c r="T52" s="16"/>
      <c r="U52" s="16">
        <v>4</v>
      </c>
      <c r="V52" s="16"/>
      <c r="W52" s="16"/>
      <c r="X52" s="16"/>
      <c r="Y52" s="17"/>
      <c r="Z52" s="17"/>
      <c r="AA52" s="16"/>
      <c r="AB52" s="16">
        <v>4</v>
      </c>
      <c r="AC52" s="16"/>
      <c r="AD52" s="16"/>
      <c r="AE52" s="16"/>
      <c r="AF52" s="17"/>
      <c r="AG52" s="17"/>
      <c r="AH52" s="16"/>
      <c r="AI52" s="16"/>
      <c r="AJ52" s="16"/>
      <c r="AK52" s="16"/>
      <c r="AL52" s="16"/>
      <c r="AM52" s="17"/>
      <c r="AN52" s="17"/>
      <c r="AO52" s="16">
        <f t="shared" si="0"/>
        <v>16</v>
      </c>
      <c r="AP52" s="51" t="s">
        <v>144</v>
      </c>
      <c r="AQ52" s="45">
        <v>45</v>
      </c>
      <c r="AR52" s="19">
        <f t="shared" si="1"/>
        <v>36</v>
      </c>
    </row>
    <row r="53" spans="1:44">
      <c r="A53" s="91"/>
      <c r="B53" s="26" t="s">
        <v>20</v>
      </c>
      <c r="C53" s="27" t="s">
        <v>115</v>
      </c>
      <c r="D53" s="8" t="s">
        <v>65</v>
      </c>
      <c r="E53" s="24" t="s">
        <v>45</v>
      </c>
      <c r="F53" s="24"/>
      <c r="G53" s="24"/>
      <c r="H53" s="16">
        <v>4</v>
      </c>
      <c r="I53" s="16"/>
      <c r="J53" s="16"/>
      <c r="K53" s="55"/>
      <c r="L53" s="17"/>
      <c r="M53" s="16"/>
      <c r="N53" s="16"/>
      <c r="O53" s="16">
        <v>4</v>
      </c>
      <c r="P53" s="16"/>
      <c r="Q53" s="16"/>
      <c r="R53" s="17"/>
      <c r="S53" s="17"/>
      <c r="T53" s="16"/>
      <c r="U53" s="16"/>
      <c r="V53" s="16"/>
      <c r="W53" s="16">
        <v>4</v>
      </c>
      <c r="X53" s="16"/>
      <c r="Y53" s="17"/>
      <c r="Z53" s="17"/>
      <c r="AA53" s="16"/>
      <c r="AB53" s="16"/>
      <c r="AC53" s="16">
        <v>4</v>
      </c>
      <c r="AD53" s="16"/>
      <c r="AE53" s="16"/>
      <c r="AF53" s="17"/>
      <c r="AG53" s="17"/>
      <c r="AH53" s="16"/>
      <c r="AI53" s="16"/>
      <c r="AJ53" s="16"/>
      <c r="AK53" s="16"/>
      <c r="AL53" s="16"/>
      <c r="AM53" s="17"/>
      <c r="AN53" s="17"/>
      <c r="AO53" s="16">
        <f t="shared" si="0"/>
        <v>16</v>
      </c>
      <c r="AP53" s="51" t="s">
        <v>198</v>
      </c>
      <c r="AQ53" s="45">
        <v>60</v>
      </c>
      <c r="AR53" s="19">
        <f t="shared" si="1"/>
        <v>48</v>
      </c>
    </row>
    <row r="54" spans="1:44" ht="18.75" hidden="1" customHeight="1">
      <c r="A54" s="91"/>
      <c r="B54" s="26" t="s">
        <v>117</v>
      </c>
      <c r="C54" s="27" t="s">
        <v>118</v>
      </c>
      <c r="D54" s="8" t="s">
        <v>29</v>
      </c>
      <c r="E54" s="24"/>
      <c r="F54" s="24"/>
      <c r="G54" s="24"/>
      <c r="H54" s="16"/>
      <c r="I54" s="16"/>
      <c r="J54" s="16"/>
      <c r="K54" s="55"/>
      <c r="L54" s="17"/>
      <c r="M54" s="16"/>
      <c r="N54" s="16"/>
      <c r="O54" s="16"/>
      <c r="P54" s="16"/>
      <c r="Q54" s="16"/>
      <c r="R54" s="17"/>
      <c r="S54" s="17"/>
      <c r="T54" s="16"/>
      <c r="U54" s="16"/>
      <c r="V54" s="16"/>
      <c r="W54" s="16"/>
      <c r="X54" s="16"/>
      <c r="Y54" s="17"/>
      <c r="Z54" s="17"/>
      <c r="AA54" s="16"/>
      <c r="AB54" s="16"/>
      <c r="AC54" s="16"/>
      <c r="AD54" s="16"/>
      <c r="AE54" s="16"/>
      <c r="AF54" s="17"/>
      <c r="AG54" s="17"/>
      <c r="AH54" s="16"/>
      <c r="AI54" s="16"/>
      <c r="AJ54" s="16"/>
      <c r="AK54" s="16"/>
      <c r="AL54" s="16"/>
      <c r="AM54" s="17"/>
      <c r="AN54" s="17"/>
      <c r="AO54" s="16">
        <f t="shared" si="0"/>
        <v>0</v>
      </c>
      <c r="AP54" s="16"/>
      <c r="AQ54" s="45">
        <v>30</v>
      </c>
      <c r="AR54" s="19">
        <f t="shared" si="1"/>
        <v>24</v>
      </c>
    </row>
    <row r="55" spans="1:44">
      <c r="A55" s="91"/>
      <c r="B55" s="26" t="s">
        <v>36</v>
      </c>
      <c r="C55" s="27" t="s">
        <v>119</v>
      </c>
      <c r="D55" s="8" t="s">
        <v>120</v>
      </c>
      <c r="E55" s="24" t="s">
        <v>45</v>
      </c>
      <c r="F55" s="24"/>
      <c r="G55" s="24"/>
      <c r="H55" s="16"/>
      <c r="I55" s="16">
        <v>4</v>
      </c>
      <c r="J55" s="16"/>
      <c r="K55" s="55"/>
      <c r="L55" s="17"/>
      <c r="M55" s="16"/>
      <c r="N55" s="16"/>
      <c r="O55" s="16"/>
      <c r="P55" s="16">
        <v>4</v>
      </c>
      <c r="Q55" s="16"/>
      <c r="R55" s="17"/>
      <c r="S55" s="17"/>
      <c r="T55" s="16"/>
      <c r="U55" s="16"/>
      <c r="V55" s="16">
        <v>4</v>
      </c>
      <c r="W55" s="16"/>
      <c r="X55" s="16"/>
      <c r="Y55" s="17"/>
      <c r="Z55" s="17"/>
      <c r="AA55" s="16"/>
      <c r="AB55" s="16"/>
      <c r="AC55" s="16"/>
      <c r="AD55" s="16">
        <v>4</v>
      </c>
      <c r="AE55" s="16"/>
      <c r="AF55" s="17"/>
      <c r="AG55" s="17"/>
      <c r="AH55" s="16"/>
      <c r="AI55" s="16"/>
      <c r="AJ55" s="16"/>
      <c r="AK55" s="16"/>
      <c r="AL55" s="16"/>
      <c r="AM55" s="17"/>
      <c r="AN55" s="17"/>
      <c r="AO55" s="16">
        <f t="shared" si="0"/>
        <v>16</v>
      </c>
      <c r="AP55" s="51" t="s">
        <v>197</v>
      </c>
      <c r="AQ55" s="45">
        <v>75</v>
      </c>
      <c r="AR55" s="19">
        <f t="shared" si="1"/>
        <v>60</v>
      </c>
    </row>
    <row r="56" spans="1:44" ht="31">
      <c r="A56" s="91"/>
      <c r="B56" s="26" t="s">
        <v>50</v>
      </c>
      <c r="C56" s="27" t="s">
        <v>75</v>
      </c>
      <c r="D56" s="8" t="s">
        <v>65</v>
      </c>
      <c r="E56" s="24" t="s">
        <v>45</v>
      </c>
      <c r="F56" s="25">
        <v>4</v>
      </c>
      <c r="G56" s="24"/>
      <c r="H56" s="16"/>
      <c r="I56" s="16"/>
      <c r="J56" s="16"/>
      <c r="K56" s="55"/>
      <c r="L56" s="17"/>
      <c r="M56" s="16">
        <v>4</v>
      </c>
      <c r="N56" s="16"/>
      <c r="O56" s="16"/>
      <c r="P56" s="16"/>
      <c r="Q56" s="16"/>
      <c r="R56" s="17"/>
      <c r="S56" s="17"/>
      <c r="T56" s="16">
        <v>4</v>
      </c>
      <c r="U56" s="16"/>
      <c r="V56" s="16"/>
      <c r="W56" s="16"/>
      <c r="X56" s="16"/>
      <c r="Y56" s="17"/>
      <c r="Z56" s="17"/>
      <c r="AA56" s="16">
        <v>4</v>
      </c>
      <c r="AB56" s="16"/>
      <c r="AC56" s="16"/>
      <c r="AD56" s="16"/>
      <c r="AE56" s="16"/>
      <c r="AF56" s="17"/>
      <c r="AG56" s="17"/>
      <c r="AH56" s="16"/>
      <c r="AI56" s="16"/>
      <c r="AJ56" s="16"/>
      <c r="AK56" s="16"/>
      <c r="AL56" s="16"/>
      <c r="AM56" s="17"/>
      <c r="AN56" s="17"/>
      <c r="AO56" s="16">
        <f t="shared" si="0"/>
        <v>16</v>
      </c>
      <c r="AP56" s="51" t="s">
        <v>93</v>
      </c>
      <c r="AQ56" s="45">
        <v>75</v>
      </c>
      <c r="AR56" s="19">
        <f t="shared" si="1"/>
        <v>60</v>
      </c>
    </row>
    <row r="57" spans="1:44">
      <c r="A57" s="91"/>
      <c r="B57" s="26" t="s">
        <v>50</v>
      </c>
      <c r="C57" s="27" t="s">
        <v>28</v>
      </c>
      <c r="D57" s="8" t="s">
        <v>65</v>
      </c>
      <c r="E57" s="24" t="s">
        <v>76</v>
      </c>
      <c r="F57" s="25">
        <v>1</v>
      </c>
      <c r="G57" s="24"/>
      <c r="H57" s="16"/>
      <c r="I57" s="16"/>
      <c r="J57" s="16"/>
      <c r="K57" s="55"/>
      <c r="L57" s="17"/>
      <c r="M57" s="16">
        <v>1</v>
      </c>
      <c r="N57" s="16"/>
      <c r="O57" s="16"/>
      <c r="P57" s="16"/>
      <c r="Q57" s="16"/>
      <c r="R57" s="17"/>
      <c r="S57" s="17"/>
      <c r="T57" s="16">
        <v>1</v>
      </c>
      <c r="U57" s="16"/>
      <c r="V57" s="16"/>
      <c r="W57" s="16"/>
      <c r="X57" s="16"/>
      <c r="Y57" s="17"/>
      <c r="Z57" s="17"/>
      <c r="AA57" s="16">
        <v>1</v>
      </c>
      <c r="AB57" s="16"/>
      <c r="AC57" s="16"/>
      <c r="AD57" s="16"/>
      <c r="AE57" s="16"/>
      <c r="AF57" s="17"/>
      <c r="AG57" s="17"/>
      <c r="AH57" s="16"/>
      <c r="AI57" s="16"/>
      <c r="AJ57" s="16"/>
      <c r="AK57" s="16"/>
      <c r="AL57" s="16"/>
      <c r="AM57" s="17"/>
      <c r="AN57" s="17"/>
      <c r="AO57" s="16">
        <f t="shared" si="0"/>
        <v>4</v>
      </c>
      <c r="AP57" s="16"/>
      <c r="AQ57" s="45"/>
      <c r="AR57" s="19" t="str">
        <f t="shared" si="1"/>
        <v/>
      </c>
    </row>
    <row r="58" spans="1:44">
      <c r="A58" s="91" t="s">
        <v>122</v>
      </c>
      <c r="B58" s="26" t="s">
        <v>123</v>
      </c>
      <c r="C58" s="27" t="s">
        <v>115</v>
      </c>
      <c r="D58" s="8" t="s">
        <v>71</v>
      </c>
      <c r="E58" s="24" t="s">
        <v>45</v>
      </c>
      <c r="F58" s="25">
        <v>4</v>
      </c>
      <c r="G58" s="24"/>
      <c r="H58" s="16"/>
      <c r="I58" s="16"/>
      <c r="J58" s="16"/>
      <c r="K58" s="55"/>
      <c r="L58" s="17"/>
      <c r="M58" s="16"/>
      <c r="N58" s="16">
        <v>4</v>
      </c>
      <c r="O58" s="16"/>
      <c r="P58" s="16"/>
      <c r="Q58" s="16"/>
      <c r="R58" s="17"/>
      <c r="S58" s="17"/>
      <c r="T58" s="16"/>
      <c r="U58" s="16">
        <v>4</v>
      </c>
      <c r="V58" s="16"/>
      <c r="W58" s="16"/>
      <c r="X58" s="16"/>
      <c r="Y58" s="17"/>
      <c r="Z58" s="17"/>
      <c r="AA58" s="16"/>
      <c r="AB58" s="16"/>
      <c r="AC58" s="16"/>
      <c r="AD58" s="16"/>
      <c r="AE58" s="16"/>
      <c r="AF58" s="17"/>
      <c r="AG58" s="17"/>
      <c r="AH58" s="16"/>
      <c r="AI58" s="16"/>
      <c r="AJ58" s="16"/>
      <c r="AK58" s="16"/>
      <c r="AL58" s="16"/>
      <c r="AM58" s="17"/>
      <c r="AN58" s="17"/>
      <c r="AO58" s="16">
        <f t="shared" si="0"/>
        <v>12</v>
      </c>
      <c r="AP58" s="51" t="s">
        <v>19</v>
      </c>
      <c r="AQ58" s="45">
        <v>45</v>
      </c>
      <c r="AR58" s="19">
        <f t="shared" si="1"/>
        <v>36</v>
      </c>
    </row>
    <row r="59" spans="1:44">
      <c r="A59" s="91"/>
      <c r="B59" s="26" t="s">
        <v>42</v>
      </c>
      <c r="C59" s="27" t="s">
        <v>61</v>
      </c>
      <c r="D59" s="8" t="s">
        <v>71</v>
      </c>
      <c r="E59" s="24" t="s">
        <v>45</v>
      </c>
      <c r="F59" s="24"/>
      <c r="G59" s="25">
        <v>4</v>
      </c>
      <c r="H59" s="16"/>
      <c r="I59" s="16"/>
      <c r="J59" s="16"/>
      <c r="K59" s="55"/>
      <c r="L59" s="17"/>
      <c r="M59" s="16"/>
      <c r="N59" s="16"/>
      <c r="O59" s="16"/>
      <c r="P59" s="16"/>
      <c r="Q59" s="16"/>
      <c r="R59" s="17"/>
      <c r="S59" s="17"/>
      <c r="T59" s="16"/>
      <c r="U59" s="16"/>
      <c r="V59" s="16"/>
      <c r="W59" s="16"/>
      <c r="X59" s="16"/>
      <c r="Y59" s="17"/>
      <c r="Z59" s="17"/>
      <c r="AA59" s="16"/>
      <c r="AB59" s="16"/>
      <c r="AC59" s="16"/>
      <c r="AD59" s="16"/>
      <c r="AE59" s="16"/>
      <c r="AF59" s="17"/>
      <c r="AG59" s="17"/>
      <c r="AH59" s="16"/>
      <c r="AI59" s="16"/>
      <c r="AJ59" s="16"/>
      <c r="AK59" s="16"/>
      <c r="AL59" s="16"/>
      <c r="AM59" s="17"/>
      <c r="AN59" s="17"/>
      <c r="AO59" s="16">
        <f t="shared" si="0"/>
        <v>4</v>
      </c>
      <c r="AP59" s="51" t="s">
        <v>66</v>
      </c>
      <c r="AQ59" s="45">
        <v>30</v>
      </c>
      <c r="AR59" s="19">
        <f t="shared" si="1"/>
        <v>24</v>
      </c>
    </row>
    <row r="60" spans="1:44">
      <c r="A60" s="91"/>
      <c r="B60" s="26" t="s">
        <v>36</v>
      </c>
      <c r="C60" s="27" t="s">
        <v>119</v>
      </c>
      <c r="D60" s="8" t="s">
        <v>120</v>
      </c>
      <c r="E60" s="24" t="s">
        <v>45</v>
      </c>
      <c r="F60" s="24"/>
      <c r="G60" s="24"/>
      <c r="H60" s="16">
        <v>4</v>
      </c>
      <c r="I60" s="16"/>
      <c r="J60" s="16"/>
      <c r="K60" s="55"/>
      <c r="L60" s="17"/>
      <c r="M60" s="16"/>
      <c r="N60" s="16"/>
      <c r="O60" s="16">
        <v>4</v>
      </c>
      <c r="P60" s="16"/>
      <c r="Q60" s="16"/>
      <c r="R60" s="17"/>
      <c r="S60" s="17"/>
      <c r="T60" s="16"/>
      <c r="U60" s="16"/>
      <c r="V60" s="16"/>
      <c r="W60" s="16">
        <v>4</v>
      </c>
      <c r="X60" s="16"/>
      <c r="Y60" s="17"/>
      <c r="Z60" s="17"/>
      <c r="AA60" s="16"/>
      <c r="AB60" s="16"/>
      <c r="AC60" s="16"/>
      <c r="AD60" s="16"/>
      <c r="AE60" s="16"/>
      <c r="AF60" s="17"/>
      <c r="AG60" s="17"/>
      <c r="AH60" s="16"/>
      <c r="AI60" s="16"/>
      <c r="AJ60" s="16"/>
      <c r="AK60" s="16"/>
      <c r="AL60" s="16"/>
      <c r="AM60" s="17"/>
      <c r="AN60" s="17"/>
      <c r="AO60" s="16">
        <f t="shared" si="0"/>
        <v>12</v>
      </c>
      <c r="AP60" s="51" t="s">
        <v>19</v>
      </c>
      <c r="AQ60" s="45">
        <v>45</v>
      </c>
      <c r="AR60" s="19">
        <f t="shared" si="1"/>
        <v>36</v>
      </c>
    </row>
    <row r="61" spans="1:44">
      <c r="A61" s="91"/>
      <c r="B61" s="26" t="s">
        <v>24</v>
      </c>
      <c r="C61" s="27" t="s">
        <v>25</v>
      </c>
      <c r="D61" s="8" t="s">
        <v>26</v>
      </c>
      <c r="E61" s="24" t="s">
        <v>45</v>
      </c>
      <c r="F61" s="24"/>
      <c r="G61" s="24"/>
      <c r="H61" s="16"/>
      <c r="I61" s="16"/>
      <c r="J61" s="16">
        <v>4</v>
      </c>
      <c r="K61" s="55"/>
      <c r="L61" s="17"/>
      <c r="M61" s="16"/>
      <c r="N61" s="16"/>
      <c r="O61" s="16"/>
      <c r="P61" s="16"/>
      <c r="Q61" s="16">
        <v>4</v>
      </c>
      <c r="R61" s="17"/>
      <c r="S61" s="17"/>
      <c r="T61" s="16"/>
      <c r="U61" s="16"/>
      <c r="V61" s="16"/>
      <c r="W61" s="16"/>
      <c r="X61" s="16">
        <v>4</v>
      </c>
      <c r="Y61" s="17"/>
      <c r="Z61" s="17"/>
      <c r="AA61" s="16"/>
      <c r="AB61" s="16"/>
      <c r="AC61" s="16"/>
      <c r="AD61" s="16">
        <v>4</v>
      </c>
      <c r="AE61" s="16">
        <v>4</v>
      </c>
      <c r="AF61" s="17"/>
      <c r="AG61" s="17"/>
      <c r="AH61" s="16"/>
      <c r="AI61" s="16"/>
      <c r="AJ61" s="16"/>
      <c r="AK61" s="16"/>
      <c r="AL61" s="16"/>
      <c r="AM61" s="17"/>
      <c r="AN61" s="17"/>
      <c r="AO61" s="16">
        <f t="shared" ref="AO61:AO105" si="2">SUM(F61:AN61)</f>
        <v>20</v>
      </c>
      <c r="AP61" s="51" t="s">
        <v>99</v>
      </c>
      <c r="AQ61" s="45">
        <v>30</v>
      </c>
      <c r="AR61" s="19">
        <f t="shared" ref="AR61:AR105" si="3">IF(AQ61="","",AQ61-(AQ61*$AS$9))</f>
        <v>24</v>
      </c>
    </row>
    <row r="62" spans="1:44">
      <c r="A62" s="91"/>
      <c r="B62" s="26" t="s">
        <v>48</v>
      </c>
      <c r="C62" s="27" t="s">
        <v>195</v>
      </c>
      <c r="D62" s="8" t="s">
        <v>71</v>
      </c>
      <c r="E62" s="24" t="s">
        <v>45</v>
      </c>
      <c r="F62" s="24"/>
      <c r="G62" s="24"/>
      <c r="H62" s="16"/>
      <c r="I62" s="16"/>
      <c r="J62" s="16"/>
      <c r="K62" s="55"/>
      <c r="L62" s="17"/>
      <c r="M62" s="16"/>
      <c r="N62" s="16"/>
      <c r="O62" s="16"/>
      <c r="P62" s="16"/>
      <c r="Q62" s="16"/>
      <c r="R62" s="17"/>
      <c r="S62" s="17"/>
      <c r="T62" s="16"/>
      <c r="U62" s="16"/>
      <c r="V62" s="16"/>
      <c r="W62" s="16"/>
      <c r="X62" s="16"/>
      <c r="Y62" s="17"/>
      <c r="Z62" s="17"/>
      <c r="AA62" s="16"/>
      <c r="AB62" s="16">
        <v>4</v>
      </c>
      <c r="AC62" s="16"/>
      <c r="AD62" s="16"/>
      <c r="AE62" s="16"/>
      <c r="AF62" s="17"/>
      <c r="AG62" s="17"/>
      <c r="AH62" s="16"/>
      <c r="AI62" s="16"/>
      <c r="AJ62" s="16"/>
      <c r="AK62" s="16"/>
      <c r="AL62" s="16"/>
      <c r="AM62" s="17"/>
      <c r="AN62" s="17"/>
      <c r="AO62" s="16">
        <f t="shared" si="2"/>
        <v>4</v>
      </c>
      <c r="AP62" s="51" t="s">
        <v>215</v>
      </c>
      <c r="AQ62" s="45">
        <v>15</v>
      </c>
      <c r="AR62" s="19">
        <f t="shared" si="3"/>
        <v>12</v>
      </c>
    </row>
    <row r="63" spans="1:44" ht="31">
      <c r="A63" s="91"/>
      <c r="B63" s="26" t="s">
        <v>117</v>
      </c>
      <c r="C63" s="27" t="s">
        <v>118</v>
      </c>
      <c r="D63" s="8" t="s">
        <v>71</v>
      </c>
      <c r="E63" s="24" t="s">
        <v>45</v>
      </c>
      <c r="F63" s="24"/>
      <c r="G63" s="24"/>
      <c r="H63" s="16"/>
      <c r="I63" s="16"/>
      <c r="J63" s="16"/>
      <c r="K63" s="55"/>
      <c r="L63" s="17"/>
      <c r="M63" s="16"/>
      <c r="N63" s="16"/>
      <c r="O63" s="16"/>
      <c r="P63" s="16">
        <v>4</v>
      </c>
      <c r="Q63" s="16"/>
      <c r="R63" s="17"/>
      <c r="S63" s="17"/>
      <c r="T63" s="16"/>
      <c r="U63" s="16"/>
      <c r="V63" s="16">
        <v>4</v>
      </c>
      <c r="W63" s="16"/>
      <c r="X63" s="16"/>
      <c r="Y63" s="17"/>
      <c r="Z63" s="17"/>
      <c r="AA63" s="16"/>
      <c r="AB63" s="16"/>
      <c r="AC63" s="16">
        <v>4</v>
      </c>
      <c r="AD63" s="16"/>
      <c r="AE63" s="16"/>
      <c r="AF63" s="17"/>
      <c r="AG63" s="17"/>
      <c r="AH63" s="16"/>
      <c r="AI63" s="16"/>
      <c r="AJ63" s="16"/>
      <c r="AK63" s="16"/>
      <c r="AL63" s="16"/>
      <c r="AM63" s="17"/>
      <c r="AN63" s="17"/>
      <c r="AO63" s="16">
        <f t="shared" si="2"/>
        <v>12</v>
      </c>
      <c r="AP63" s="51" t="s">
        <v>209</v>
      </c>
      <c r="AQ63" s="45">
        <v>30</v>
      </c>
      <c r="AR63" s="19">
        <f t="shared" si="3"/>
        <v>24</v>
      </c>
    </row>
    <row r="64" spans="1:44" ht="46.5">
      <c r="A64" s="91"/>
      <c r="B64" s="26" t="s">
        <v>63</v>
      </c>
      <c r="C64" s="27" t="s">
        <v>110</v>
      </c>
      <c r="D64" s="8" t="s">
        <v>71</v>
      </c>
      <c r="E64" s="24" t="s">
        <v>45</v>
      </c>
      <c r="F64" s="24"/>
      <c r="G64" s="25"/>
      <c r="H64" s="16"/>
      <c r="I64" s="16">
        <v>4</v>
      </c>
      <c r="J64" s="16"/>
      <c r="K64" s="55"/>
      <c r="L64" s="17"/>
      <c r="M64" s="16">
        <v>4</v>
      </c>
      <c r="N64" s="16"/>
      <c r="O64" s="16"/>
      <c r="P64" s="16"/>
      <c r="Q64" s="16"/>
      <c r="R64" s="17"/>
      <c r="S64" s="17"/>
      <c r="T64" s="16">
        <v>4</v>
      </c>
      <c r="U64" s="16"/>
      <c r="V64" s="16"/>
      <c r="W64" s="16"/>
      <c r="X64" s="16"/>
      <c r="Y64" s="17"/>
      <c r="Z64" s="17"/>
      <c r="AA64" s="16">
        <v>4</v>
      </c>
      <c r="AB64" s="16"/>
      <c r="AC64" s="16"/>
      <c r="AD64" s="16"/>
      <c r="AE64" s="16"/>
      <c r="AF64" s="17"/>
      <c r="AG64" s="17"/>
      <c r="AH64" s="16"/>
      <c r="AI64" s="16"/>
      <c r="AJ64" s="16"/>
      <c r="AK64" s="16"/>
      <c r="AL64" s="16"/>
      <c r="AM64" s="17"/>
      <c r="AN64" s="17"/>
      <c r="AO64" s="16">
        <f t="shared" si="2"/>
        <v>16</v>
      </c>
      <c r="AP64" s="51" t="s">
        <v>147</v>
      </c>
      <c r="AQ64" s="45">
        <v>45</v>
      </c>
      <c r="AR64" s="19">
        <f t="shared" si="3"/>
        <v>36</v>
      </c>
    </row>
    <row r="65" spans="1:44">
      <c r="A65" s="91"/>
      <c r="B65" s="26" t="s">
        <v>63</v>
      </c>
      <c r="C65" s="27" t="s">
        <v>28</v>
      </c>
      <c r="D65" s="8" t="s">
        <v>71</v>
      </c>
      <c r="E65" s="24" t="s">
        <v>76</v>
      </c>
      <c r="F65" s="25">
        <v>1</v>
      </c>
      <c r="G65" s="24"/>
      <c r="H65" s="16"/>
      <c r="I65" s="16"/>
      <c r="J65" s="16"/>
      <c r="K65" s="55"/>
      <c r="L65" s="17"/>
      <c r="M65" s="16">
        <v>1</v>
      </c>
      <c r="N65" s="16"/>
      <c r="O65" s="16"/>
      <c r="P65" s="16"/>
      <c r="Q65" s="16"/>
      <c r="R65" s="17"/>
      <c r="S65" s="17"/>
      <c r="T65" s="16">
        <v>1</v>
      </c>
      <c r="U65" s="16"/>
      <c r="V65" s="16"/>
      <c r="W65" s="16"/>
      <c r="X65" s="16"/>
      <c r="Y65" s="17"/>
      <c r="Z65" s="17"/>
      <c r="AA65" s="16">
        <v>1</v>
      </c>
      <c r="AB65" s="16"/>
      <c r="AC65" s="16"/>
      <c r="AD65" s="16"/>
      <c r="AE65" s="16"/>
      <c r="AF65" s="17"/>
      <c r="AG65" s="17"/>
      <c r="AH65" s="16"/>
      <c r="AI65" s="16"/>
      <c r="AJ65" s="16"/>
      <c r="AK65" s="16"/>
      <c r="AL65" s="16"/>
      <c r="AM65" s="17"/>
      <c r="AN65" s="17"/>
      <c r="AO65" s="16">
        <f t="shared" si="2"/>
        <v>4</v>
      </c>
      <c r="AP65" s="16"/>
      <c r="AQ65" s="45"/>
      <c r="AR65" s="19" t="str">
        <f t="shared" si="3"/>
        <v/>
      </c>
    </row>
    <row r="66" spans="1:44">
      <c r="A66" s="91" t="s">
        <v>126</v>
      </c>
      <c r="B66" s="26" t="s">
        <v>48</v>
      </c>
      <c r="C66" s="27" t="s">
        <v>115</v>
      </c>
      <c r="D66" s="8" t="s">
        <v>78</v>
      </c>
      <c r="E66" s="24" t="s">
        <v>45</v>
      </c>
      <c r="F66" s="24"/>
      <c r="G66" s="25">
        <v>4</v>
      </c>
      <c r="H66" s="16"/>
      <c r="I66" s="16"/>
      <c r="J66" s="16"/>
      <c r="K66" s="55"/>
      <c r="L66" s="17"/>
      <c r="M66" s="16"/>
      <c r="N66" s="16">
        <v>4</v>
      </c>
      <c r="O66" s="16"/>
      <c r="P66" s="16"/>
      <c r="Q66" s="16"/>
      <c r="R66" s="17"/>
      <c r="S66" s="17"/>
      <c r="T66" s="16">
        <v>4</v>
      </c>
      <c r="U66" s="16"/>
      <c r="V66" s="16"/>
      <c r="W66" s="16"/>
      <c r="X66" s="16"/>
      <c r="Y66" s="17"/>
      <c r="Z66" s="17"/>
      <c r="AA66" s="16"/>
      <c r="AB66" s="16"/>
      <c r="AC66" s="16"/>
      <c r="AD66" s="16"/>
      <c r="AE66" s="16"/>
      <c r="AF66" s="17"/>
      <c r="AG66" s="17"/>
      <c r="AH66" s="16"/>
      <c r="AI66" s="16"/>
      <c r="AJ66" s="16"/>
      <c r="AK66" s="16"/>
      <c r="AL66" s="16"/>
      <c r="AM66" s="17"/>
      <c r="AN66" s="17"/>
      <c r="AO66" s="16">
        <f t="shared" si="2"/>
        <v>12</v>
      </c>
      <c r="AP66" s="51" t="s">
        <v>19</v>
      </c>
      <c r="AQ66" s="45">
        <v>45</v>
      </c>
      <c r="AR66" s="19">
        <f t="shared" si="3"/>
        <v>36</v>
      </c>
    </row>
    <row r="67" spans="1:44" ht="18.75" hidden="1" customHeight="1">
      <c r="A67" s="91"/>
      <c r="B67" s="26" t="s">
        <v>48</v>
      </c>
      <c r="C67" s="27" t="s">
        <v>195</v>
      </c>
      <c r="D67" s="8" t="s">
        <v>78</v>
      </c>
      <c r="E67" s="24" t="s">
        <v>45</v>
      </c>
      <c r="F67" s="24"/>
      <c r="G67" s="24"/>
      <c r="H67" s="16"/>
      <c r="I67" s="16"/>
      <c r="J67" s="16"/>
      <c r="K67" s="55"/>
      <c r="L67" s="17"/>
      <c r="M67" s="16"/>
      <c r="N67" s="16"/>
      <c r="O67" s="16"/>
      <c r="P67" s="16"/>
      <c r="Q67" s="16"/>
      <c r="R67" s="17"/>
      <c r="S67" s="17"/>
      <c r="T67" s="16"/>
      <c r="U67" s="16"/>
      <c r="V67" s="16"/>
      <c r="W67" s="16"/>
      <c r="X67" s="16"/>
      <c r="Y67" s="17"/>
      <c r="Z67" s="17"/>
      <c r="AA67" s="16"/>
      <c r="AB67" s="16"/>
      <c r="AC67" s="16"/>
      <c r="AD67" s="16"/>
      <c r="AE67" s="16"/>
      <c r="AF67" s="17"/>
      <c r="AG67" s="17"/>
      <c r="AH67" s="16"/>
      <c r="AI67" s="16"/>
      <c r="AJ67" s="16"/>
      <c r="AK67" s="16"/>
      <c r="AL67" s="16"/>
      <c r="AM67" s="17"/>
      <c r="AN67" s="17"/>
      <c r="AO67" s="16">
        <f t="shared" si="2"/>
        <v>0</v>
      </c>
      <c r="AP67" s="51" t="s">
        <v>216</v>
      </c>
      <c r="AQ67" s="45">
        <v>15</v>
      </c>
      <c r="AR67" s="19">
        <f t="shared" si="3"/>
        <v>12</v>
      </c>
    </row>
    <row r="68" spans="1:44" ht="31">
      <c r="A68" s="91"/>
      <c r="B68" s="26" t="s">
        <v>50</v>
      </c>
      <c r="C68" s="27" t="s">
        <v>75</v>
      </c>
      <c r="D68" s="8" t="s">
        <v>78</v>
      </c>
      <c r="E68" s="24" t="s">
        <v>45</v>
      </c>
      <c r="F68" s="24"/>
      <c r="G68" s="24"/>
      <c r="H68" s="16"/>
      <c r="I68" s="16">
        <v>4</v>
      </c>
      <c r="J68" s="16"/>
      <c r="K68" s="55"/>
      <c r="L68" s="17"/>
      <c r="M68" s="16"/>
      <c r="N68" s="16"/>
      <c r="O68" s="16"/>
      <c r="P68" s="16">
        <v>4</v>
      </c>
      <c r="Q68" s="16"/>
      <c r="R68" s="17"/>
      <c r="S68" s="17"/>
      <c r="T68" s="16"/>
      <c r="U68" s="16">
        <v>4</v>
      </c>
      <c r="V68" s="16"/>
      <c r="W68" s="16"/>
      <c r="X68" s="16"/>
      <c r="Y68" s="17"/>
      <c r="Z68" s="17"/>
      <c r="AA68" s="16"/>
      <c r="AB68" s="16">
        <v>4</v>
      </c>
      <c r="AC68" s="16"/>
      <c r="AD68" s="16"/>
      <c r="AE68" s="16"/>
      <c r="AF68" s="17"/>
      <c r="AG68" s="17"/>
      <c r="AH68" s="16"/>
      <c r="AI68" s="16"/>
      <c r="AJ68" s="16"/>
      <c r="AK68" s="16"/>
      <c r="AL68" s="16"/>
      <c r="AM68" s="17"/>
      <c r="AN68" s="17"/>
      <c r="AO68" s="16">
        <f t="shared" si="2"/>
        <v>16</v>
      </c>
      <c r="AP68" s="51" t="s">
        <v>19</v>
      </c>
      <c r="AQ68" s="45">
        <v>45</v>
      </c>
      <c r="AR68" s="19">
        <f t="shared" si="3"/>
        <v>36</v>
      </c>
    </row>
    <row r="69" spans="1:44">
      <c r="A69" s="91"/>
      <c r="B69" s="26" t="s">
        <v>42</v>
      </c>
      <c r="C69" s="27" t="s">
        <v>61</v>
      </c>
      <c r="D69" s="8" t="s">
        <v>78</v>
      </c>
      <c r="E69" s="24" t="s">
        <v>45</v>
      </c>
      <c r="F69" s="24"/>
      <c r="G69" s="24"/>
      <c r="H69" s="16"/>
      <c r="I69" s="16"/>
      <c r="J69" s="16"/>
      <c r="K69" s="55"/>
      <c r="L69" s="17"/>
      <c r="M69" s="16"/>
      <c r="N69" s="16"/>
      <c r="O69" s="16"/>
      <c r="P69" s="16"/>
      <c r="Q69" s="16"/>
      <c r="R69" s="17"/>
      <c r="S69" s="17"/>
      <c r="T69" s="16"/>
      <c r="U69" s="16"/>
      <c r="V69" s="16"/>
      <c r="W69" s="16"/>
      <c r="X69" s="16"/>
      <c r="Y69" s="17"/>
      <c r="Z69" s="17"/>
      <c r="AA69" s="16"/>
      <c r="AB69" s="16"/>
      <c r="AC69" s="16"/>
      <c r="AD69" s="16"/>
      <c r="AE69" s="16">
        <v>4</v>
      </c>
      <c r="AF69" s="17"/>
      <c r="AG69" s="17"/>
      <c r="AH69" s="16"/>
      <c r="AI69" s="16"/>
      <c r="AJ69" s="16"/>
      <c r="AK69" s="16"/>
      <c r="AL69" s="16"/>
      <c r="AM69" s="17"/>
      <c r="AN69" s="17"/>
      <c r="AO69" s="16">
        <f t="shared" si="2"/>
        <v>4</v>
      </c>
      <c r="AP69" s="51" t="s">
        <v>124</v>
      </c>
      <c r="AQ69" s="45">
        <v>30</v>
      </c>
      <c r="AR69" s="19">
        <f t="shared" si="3"/>
        <v>24</v>
      </c>
    </row>
    <row r="70" spans="1:44" ht="31">
      <c r="A70" s="91"/>
      <c r="B70" s="26" t="s">
        <v>117</v>
      </c>
      <c r="C70" s="27" t="s">
        <v>118</v>
      </c>
      <c r="D70" s="8" t="s">
        <v>78</v>
      </c>
      <c r="E70" s="24" t="s">
        <v>45</v>
      </c>
      <c r="F70" s="24"/>
      <c r="G70" s="24"/>
      <c r="H70" s="16"/>
      <c r="I70" s="16"/>
      <c r="J70" s="16">
        <v>4</v>
      </c>
      <c r="K70" s="55"/>
      <c r="L70" s="17"/>
      <c r="M70" s="16"/>
      <c r="N70" s="16"/>
      <c r="O70" s="16"/>
      <c r="P70" s="16"/>
      <c r="Q70" s="16">
        <v>4</v>
      </c>
      <c r="R70" s="17"/>
      <c r="S70" s="17"/>
      <c r="T70" s="16"/>
      <c r="U70" s="16"/>
      <c r="V70" s="16"/>
      <c r="W70" s="16">
        <v>4</v>
      </c>
      <c r="X70" s="16">
        <v>4</v>
      </c>
      <c r="Y70" s="17"/>
      <c r="Z70" s="17"/>
      <c r="AA70" s="16"/>
      <c r="AB70" s="16"/>
      <c r="AC70" s="16"/>
      <c r="AD70" s="16">
        <v>4</v>
      </c>
      <c r="AE70" s="16"/>
      <c r="AF70" s="17"/>
      <c r="AG70" s="17"/>
      <c r="AH70" s="16"/>
      <c r="AI70" s="16"/>
      <c r="AJ70" s="16"/>
      <c r="AK70" s="16"/>
      <c r="AL70" s="16"/>
      <c r="AM70" s="17"/>
      <c r="AN70" s="17"/>
      <c r="AO70" s="16">
        <f t="shared" si="2"/>
        <v>20</v>
      </c>
      <c r="AP70" s="56" t="s">
        <v>99</v>
      </c>
      <c r="AQ70" s="45">
        <v>30</v>
      </c>
      <c r="AR70" s="19">
        <f t="shared" si="3"/>
        <v>24</v>
      </c>
    </row>
    <row r="71" spans="1:44" ht="46.5">
      <c r="A71" s="91"/>
      <c r="B71" s="26" t="s">
        <v>63</v>
      </c>
      <c r="C71" s="27" t="s">
        <v>110</v>
      </c>
      <c r="D71" s="8" t="s">
        <v>78</v>
      </c>
      <c r="E71" s="24" t="s">
        <v>45</v>
      </c>
      <c r="F71" s="24"/>
      <c r="G71" s="24"/>
      <c r="H71" s="16">
        <v>4</v>
      </c>
      <c r="I71" s="16"/>
      <c r="J71" s="16"/>
      <c r="K71" s="55"/>
      <c r="L71" s="17"/>
      <c r="M71" s="16"/>
      <c r="N71" s="16"/>
      <c r="O71" s="16">
        <v>4</v>
      </c>
      <c r="P71" s="16"/>
      <c r="Q71" s="16"/>
      <c r="R71" s="17"/>
      <c r="S71" s="17"/>
      <c r="T71" s="16"/>
      <c r="U71" s="16"/>
      <c r="V71" s="16">
        <v>4</v>
      </c>
      <c r="W71" s="16"/>
      <c r="X71" s="16"/>
      <c r="Y71" s="17"/>
      <c r="Z71" s="17"/>
      <c r="AA71" s="16"/>
      <c r="AB71" s="16"/>
      <c r="AC71" s="16">
        <v>4</v>
      </c>
      <c r="AD71" s="16"/>
      <c r="AE71" s="16"/>
      <c r="AF71" s="17"/>
      <c r="AG71" s="17"/>
      <c r="AH71" s="16"/>
      <c r="AI71" s="16"/>
      <c r="AJ71" s="16"/>
      <c r="AK71" s="16"/>
      <c r="AL71" s="16"/>
      <c r="AM71" s="17"/>
      <c r="AN71" s="17"/>
      <c r="AO71" s="16">
        <f t="shared" si="2"/>
        <v>16</v>
      </c>
      <c r="AP71" s="51" t="s">
        <v>147</v>
      </c>
      <c r="AQ71" s="45">
        <v>45</v>
      </c>
      <c r="AR71" s="19">
        <f t="shared" si="3"/>
        <v>36</v>
      </c>
    </row>
    <row r="72" spans="1:44">
      <c r="A72" s="91"/>
      <c r="B72" s="26" t="s">
        <v>36</v>
      </c>
      <c r="C72" s="27" t="s">
        <v>119</v>
      </c>
      <c r="D72" s="8" t="s">
        <v>120</v>
      </c>
      <c r="E72" s="24" t="s">
        <v>45</v>
      </c>
      <c r="F72" s="25">
        <v>4</v>
      </c>
      <c r="G72" s="24"/>
      <c r="H72" s="16"/>
      <c r="I72" s="16"/>
      <c r="J72" s="16"/>
      <c r="K72" s="55"/>
      <c r="L72" s="17"/>
      <c r="M72" s="16">
        <v>4</v>
      </c>
      <c r="N72" s="16"/>
      <c r="O72" s="16"/>
      <c r="P72" s="16"/>
      <c r="Q72" s="16"/>
      <c r="R72" s="17"/>
      <c r="S72" s="17"/>
      <c r="T72" s="16"/>
      <c r="U72" s="16"/>
      <c r="V72" s="16"/>
      <c r="W72" s="16"/>
      <c r="X72" s="16"/>
      <c r="Y72" s="17"/>
      <c r="Z72" s="17"/>
      <c r="AA72" s="16">
        <v>4</v>
      </c>
      <c r="AB72" s="16"/>
      <c r="AC72" s="16"/>
      <c r="AD72" s="16"/>
      <c r="AE72" s="16"/>
      <c r="AF72" s="17"/>
      <c r="AG72" s="17"/>
      <c r="AH72" s="16"/>
      <c r="AI72" s="16"/>
      <c r="AJ72" s="16"/>
      <c r="AK72" s="16"/>
      <c r="AL72" s="16"/>
      <c r="AM72" s="17"/>
      <c r="AN72" s="17"/>
      <c r="AO72" s="16">
        <f t="shared" si="2"/>
        <v>12</v>
      </c>
      <c r="AP72" s="51" t="s">
        <v>19</v>
      </c>
      <c r="AQ72" s="45">
        <v>45</v>
      </c>
      <c r="AR72" s="19">
        <f t="shared" si="3"/>
        <v>36</v>
      </c>
    </row>
    <row r="73" spans="1:44">
      <c r="A73" s="91"/>
      <c r="B73" s="26" t="s">
        <v>36</v>
      </c>
      <c r="C73" s="27" t="s">
        <v>28</v>
      </c>
      <c r="D73" s="8" t="s">
        <v>120</v>
      </c>
      <c r="E73" s="24" t="s">
        <v>76</v>
      </c>
      <c r="F73" s="25">
        <v>1</v>
      </c>
      <c r="G73" s="24"/>
      <c r="H73" s="16"/>
      <c r="I73" s="16"/>
      <c r="J73" s="16"/>
      <c r="K73" s="55"/>
      <c r="L73" s="17"/>
      <c r="M73" s="16">
        <v>1</v>
      </c>
      <c r="N73" s="16"/>
      <c r="O73" s="16"/>
      <c r="P73" s="16"/>
      <c r="Q73" s="16"/>
      <c r="R73" s="17"/>
      <c r="S73" s="17"/>
      <c r="T73" s="16">
        <v>1</v>
      </c>
      <c r="U73" s="16"/>
      <c r="V73" s="16"/>
      <c r="W73" s="16"/>
      <c r="X73" s="16"/>
      <c r="Y73" s="17"/>
      <c r="Z73" s="17"/>
      <c r="AA73" s="16">
        <v>1</v>
      </c>
      <c r="AB73" s="16"/>
      <c r="AC73" s="16"/>
      <c r="AD73" s="16"/>
      <c r="AE73" s="16"/>
      <c r="AF73" s="17"/>
      <c r="AG73" s="17"/>
      <c r="AH73" s="16"/>
      <c r="AI73" s="16"/>
      <c r="AJ73" s="16"/>
      <c r="AK73" s="16"/>
      <c r="AL73" s="16"/>
      <c r="AM73" s="17"/>
      <c r="AN73" s="17"/>
      <c r="AO73" s="16">
        <f t="shared" si="2"/>
        <v>4</v>
      </c>
      <c r="AP73" s="16"/>
      <c r="AQ73" s="45"/>
      <c r="AR73" s="19" t="str">
        <f t="shared" si="3"/>
        <v/>
      </c>
    </row>
    <row r="74" spans="1:44">
      <c r="A74" s="91" t="s">
        <v>127</v>
      </c>
      <c r="B74" s="26" t="s">
        <v>58</v>
      </c>
      <c r="C74" s="27" t="s">
        <v>59</v>
      </c>
      <c r="D74" s="8" t="s">
        <v>128</v>
      </c>
      <c r="E74" s="24" t="s">
        <v>45</v>
      </c>
      <c r="F74" s="24"/>
      <c r="G74" s="25">
        <v>4</v>
      </c>
      <c r="H74" s="16"/>
      <c r="I74" s="16"/>
      <c r="J74" s="16">
        <v>4</v>
      </c>
      <c r="K74" s="55"/>
      <c r="L74" s="17"/>
      <c r="M74" s="16"/>
      <c r="N74" s="16">
        <v>4</v>
      </c>
      <c r="O74" s="16"/>
      <c r="P74" s="16"/>
      <c r="Q74" s="16">
        <v>4</v>
      </c>
      <c r="R74" s="17"/>
      <c r="S74" s="17"/>
      <c r="T74" s="16"/>
      <c r="U74" s="16"/>
      <c r="V74" s="16">
        <v>4</v>
      </c>
      <c r="W74" s="16"/>
      <c r="X74" s="16">
        <v>4</v>
      </c>
      <c r="Y74" s="17"/>
      <c r="Z74" s="17"/>
      <c r="AA74" s="16"/>
      <c r="AB74" s="16"/>
      <c r="AC74" s="16">
        <v>4</v>
      </c>
      <c r="AD74" s="16">
        <v>4</v>
      </c>
      <c r="AE74" s="16"/>
      <c r="AF74" s="17"/>
      <c r="AG74" s="17"/>
      <c r="AH74" s="16"/>
      <c r="AI74" s="16"/>
      <c r="AJ74" s="16"/>
      <c r="AK74" s="16"/>
      <c r="AL74" s="16"/>
      <c r="AM74" s="17"/>
      <c r="AN74" s="17"/>
      <c r="AO74" s="16">
        <f t="shared" si="2"/>
        <v>32</v>
      </c>
      <c r="AP74" s="51" t="s">
        <v>72</v>
      </c>
      <c r="AQ74" s="45">
        <v>90</v>
      </c>
      <c r="AR74" s="19">
        <f t="shared" si="3"/>
        <v>72</v>
      </c>
    </row>
    <row r="75" spans="1:44">
      <c r="A75" s="91"/>
      <c r="B75" s="26" t="s">
        <v>87</v>
      </c>
      <c r="C75" s="27" t="s">
        <v>199</v>
      </c>
      <c r="D75" s="8" t="s">
        <v>128</v>
      </c>
      <c r="E75" s="24" t="s">
        <v>45</v>
      </c>
      <c r="F75" s="25">
        <v>4</v>
      </c>
      <c r="G75" s="24"/>
      <c r="H75" s="16"/>
      <c r="I75" s="16"/>
      <c r="J75" s="16"/>
      <c r="K75" s="55"/>
      <c r="L75" s="17"/>
      <c r="M75" s="16">
        <v>4</v>
      </c>
      <c r="N75" s="16"/>
      <c r="O75" s="16"/>
      <c r="P75" s="16"/>
      <c r="Q75" s="16"/>
      <c r="R75" s="17"/>
      <c r="S75" s="17"/>
      <c r="T75" s="16">
        <v>4</v>
      </c>
      <c r="U75" s="16"/>
      <c r="V75" s="16"/>
      <c r="W75" s="16"/>
      <c r="X75" s="16"/>
      <c r="Y75" s="17"/>
      <c r="Z75" s="17"/>
      <c r="AA75" s="16"/>
      <c r="AB75" s="16"/>
      <c r="AC75" s="16"/>
      <c r="AD75" s="16"/>
      <c r="AE75" s="16"/>
      <c r="AF75" s="17"/>
      <c r="AG75" s="17"/>
      <c r="AH75" s="16"/>
      <c r="AI75" s="16"/>
      <c r="AJ75" s="16"/>
      <c r="AK75" s="16"/>
      <c r="AL75" s="16"/>
      <c r="AM75" s="17"/>
      <c r="AN75" s="17"/>
      <c r="AO75" s="16">
        <f t="shared" si="2"/>
        <v>12</v>
      </c>
      <c r="AP75" s="51" t="s">
        <v>167</v>
      </c>
      <c r="AQ75" s="45">
        <v>15</v>
      </c>
      <c r="AR75" s="19">
        <f t="shared" si="3"/>
        <v>12</v>
      </c>
    </row>
    <row r="76" spans="1:44">
      <c r="A76" s="91"/>
      <c r="B76" s="26" t="s">
        <v>87</v>
      </c>
      <c r="C76" s="27" t="s">
        <v>200</v>
      </c>
      <c r="D76" s="8" t="s">
        <v>128</v>
      </c>
      <c r="E76" s="24" t="s">
        <v>45</v>
      </c>
      <c r="F76" s="24"/>
      <c r="G76" s="24"/>
      <c r="H76" s="16"/>
      <c r="I76" s="16"/>
      <c r="J76" s="16"/>
      <c r="K76" s="55"/>
      <c r="L76" s="17"/>
      <c r="M76" s="16"/>
      <c r="N76" s="16"/>
      <c r="O76" s="16"/>
      <c r="P76" s="16"/>
      <c r="Q76" s="16"/>
      <c r="R76" s="17"/>
      <c r="S76" s="17"/>
      <c r="T76" s="16"/>
      <c r="U76" s="16"/>
      <c r="V76" s="16"/>
      <c r="W76" s="16"/>
      <c r="X76" s="16"/>
      <c r="Y76" s="17"/>
      <c r="Z76" s="17"/>
      <c r="AA76" s="16">
        <v>4</v>
      </c>
      <c r="AB76" s="16"/>
      <c r="AC76" s="16"/>
      <c r="AD76" s="16"/>
      <c r="AE76" s="16"/>
      <c r="AF76" s="17"/>
      <c r="AG76" s="17"/>
      <c r="AH76" s="16"/>
      <c r="AI76" s="16"/>
      <c r="AJ76" s="16"/>
      <c r="AK76" s="16"/>
      <c r="AL76" s="16"/>
      <c r="AM76" s="17"/>
      <c r="AN76" s="17"/>
      <c r="AO76" s="16">
        <f t="shared" si="2"/>
        <v>4</v>
      </c>
      <c r="AP76" s="51" t="s">
        <v>124</v>
      </c>
      <c r="AQ76" s="45">
        <v>30</v>
      </c>
      <c r="AR76" s="19">
        <f t="shared" si="3"/>
        <v>24</v>
      </c>
    </row>
    <row r="77" spans="1:44">
      <c r="A77" s="91"/>
      <c r="B77" s="59" t="s">
        <v>42</v>
      </c>
      <c r="C77" s="60" t="s">
        <v>61</v>
      </c>
      <c r="D77" s="8" t="s">
        <v>128</v>
      </c>
      <c r="E77" s="24" t="s">
        <v>45</v>
      </c>
      <c r="F77" s="24"/>
      <c r="G77" s="24"/>
      <c r="H77" s="16"/>
      <c r="I77" s="16"/>
      <c r="J77" s="16"/>
      <c r="K77" s="55"/>
      <c r="L77" s="17"/>
      <c r="M77" s="16"/>
      <c r="N77" s="16"/>
      <c r="O77" s="16">
        <v>4</v>
      </c>
      <c r="P77" s="16"/>
      <c r="Q77" s="16"/>
      <c r="R77" s="17"/>
      <c r="S77" s="17"/>
      <c r="T77" s="16"/>
      <c r="U77" s="16"/>
      <c r="V77" s="16"/>
      <c r="W77" s="16"/>
      <c r="X77" s="16"/>
      <c r="Y77" s="17"/>
      <c r="Z77" s="17"/>
      <c r="AA77" s="16"/>
      <c r="AB77" s="16"/>
      <c r="AC77" s="16"/>
      <c r="AD77" s="16"/>
      <c r="AE77" s="16"/>
      <c r="AF77" s="17"/>
      <c r="AG77" s="17"/>
      <c r="AH77" s="16"/>
      <c r="AI77" s="16"/>
      <c r="AJ77" s="16"/>
      <c r="AK77" s="16"/>
      <c r="AL77" s="16"/>
      <c r="AM77" s="17"/>
      <c r="AN77" s="17"/>
      <c r="AO77" s="16">
        <f t="shared" si="2"/>
        <v>4</v>
      </c>
      <c r="AP77" s="56" t="s">
        <v>206</v>
      </c>
      <c r="AQ77" s="45">
        <v>30</v>
      </c>
      <c r="AR77" s="19">
        <f t="shared" si="3"/>
        <v>24</v>
      </c>
    </row>
    <row r="78" spans="1:44">
      <c r="A78" s="91"/>
      <c r="B78" s="26" t="s">
        <v>24</v>
      </c>
      <c r="C78" s="27" t="s">
        <v>25</v>
      </c>
      <c r="D78" s="8" t="s">
        <v>26</v>
      </c>
      <c r="E78" s="24" t="s">
        <v>45</v>
      </c>
      <c r="F78" s="24"/>
      <c r="G78" s="24"/>
      <c r="H78" s="16"/>
      <c r="I78" s="16">
        <v>4</v>
      </c>
      <c r="J78" s="16"/>
      <c r="K78" s="55"/>
      <c r="L78" s="17"/>
      <c r="M78" s="16"/>
      <c r="N78" s="16"/>
      <c r="O78" s="16"/>
      <c r="P78" s="16">
        <v>4</v>
      </c>
      <c r="Q78" s="16"/>
      <c r="R78" s="17"/>
      <c r="S78" s="17"/>
      <c r="T78" s="16"/>
      <c r="U78" s="16"/>
      <c r="V78" s="16"/>
      <c r="W78" s="16">
        <v>4</v>
      </c>
      <c r="X78" s="16"/>
      <c r="Y78" s="17"/>
      <c r="Z78" s="17"/>
      <c r="AA78" s="16"/>
      <c r="AB78" s="16">
        <v>4</v>
      </c>
      <c r="AC78" s="16"/>
      <c r="AD78" s="16"/>
      <c r="AE78" s="16"/>
      <c r="AF78" s="17"/>
      <c r="AG78" s="17"/>
      <c r="AH78" s="16"/>
      <c r="AI78" s="16"/>
      <c r="AJ78" s="16"/>
      <c r="AK78" s="16"/>
      <c r="AL78" s="16"/>
      <c r="AM78" s="17"/>
      <c r="AN78" s="17"/>
      <c r="AO78" s="16">
        <f t="shared" si="2"/>
        <v>16</v>
      </c>
      <c r="AP78" s="51" t="s">
        <v>66</v>
      </c>
      <c r="AQ78" s="45">
        <v>30</v>
      </c>
      <c r="AR78" s="19">
        <f t="shared" si="3"/>
        <v>24</v>
      </c>
    </row>
    <row r="79" spans="1:44">
      <c r="A79" s="91"/>
      <c r="B79" s="26" t="s">
        <v>48</v>
      </c>
      <c r="C79" s="27" t="s">
        <v>195</v>
      </c>
      <c r="D79" s="8" t="s">
        <v>128</v>
      </c>
      <c r="E79" s="24" t="s">
        <v>45</v>
      </c>
      <c r="F79" s="24"/>
      <c r="G79" s="24"/>
      <c r="H79" s="16">
        <v>4</v>
      </c>
      <c r="I79" s="16"/>
      <c r="J79" s="16"/>
      <c r="K79" s="55"/>
      <c r="L79" s="17"/>
      <c r="M79" s="16"/>
      <c r="N79" s="16"/>
      <c r="O79" s="16"/>
      <c r="P79" s="16"/>
      <c r="Q79" s="16"/>
      <c r="R79" s="17"/>
      <c r="S79" s="17"/>
      <c r="T79" s="16"/>
      <c r="U79" s="16">
        <v>4</v>
      </c>
      <c r="V79" s="16"/>
      <c r="W79" s="16"/>
      <c r="X79" s="16"/>
      <c r="Y79" s="17"/>
      <c r="Z79" s="17"/>
      <c r="AA79" s="16"/>
      <c r="AB79" s="16"/>
      <c r="AC79" s="16"/>
      <c r="AD79" s="16"/>
      <c r="AE79" s="16">
        <v>4</v>
      </c>
      <c r="AF79" s="17"/>
      <c r="AG79" s="17"/>
      <c r="AH79" s="16"/>
      <c r="AI79" s="16"/>
      <c r="AJ79" s="16"/>
      <c r="AK79" s="16"/>
      <c r="AL79" s="16"/>
      <c r="AM79" s="17"/>
      <c r="AN79" s="17"/>
      <c r="AO79" s="16">
        <f t="shared" si="2"/>
        <v>12</v>
      </c>
      <c r="AP79" s="56" t="s">
        <v>167</v>
      </c>
      <c r="AQ79" s="45">
        <v>15</v>
      </c>
      <c r="AR79" s="19">
        <f t="shared" si="3"/>
        <v>12</v>
      </c>
    </row>
    <row r="80" spans="1:44" ht="31" hidden="1">
      <c r="A80" s="91"/>
      <c r="B80" s="26" t="s">
        <v>55</v>
      </c>
      <c r="C80" s="27" t="s">
        <v>201</v>
      </c>
      <c r="D80" s="8" t="s">
        <v>128</v>
      </c>
      <c r="E80" s="24" t="s">
        <v>45</v>
      </c>
      <c r="F80" s="24"/>
      <c r="G80" s="24"/>
      <c r="H80" s="16"/>
      <c r="I80" s="16"/>
      <c r="J80" s="16"/>
      <c r="K80" s="55"/>
      <c r="L80" s="17"/>
      <c r="M80" s="16"/>
      <c r="N80" s="16"/>
      <c r="O80" s="16"/>
      <c r="P80" s="16"/>
      <c r="Q80" s="16"/>
      <c r="R80" s="17"/>
      <c r="S80" s="17"/>
      <c r="T80" s="16"/>
      <c r="U80" s="16"/>
      <c r="V80" s="16"/>
      <c r="W80" s="16"/>
      <c r="X80" s="16"/>
      <c r="Y80" s="17"/>
      <c r="Z80" s="17"/>
      <c r="AA80" s="16"/>
      <c r="AB80" s="16"/>
      <c r="AC80" s="16"/>
      <c r="AD80" s="16"/>
      <c r="AE80" s="16"/>
      <c r="AF80" s="17"/>
      <c r="AG80" s="17"/>
      <c r="AH80" s="16"/>
      <c r="AI80" s="16"/>
      <c r="AJ80" s="16"/>
      <c r="AK80" s="16"/>
      <c r="AL80" s="16"/>
      <c r="AM80" s="17"/>
      <c r="AN80" s="17"/>
      <c r="AO80" s="16">
        <f t="shared" si="2"/>
        <v>0</v>
      </c>
      <c r="AP80" s="51" t="s">
        <v>217</v>
      </c>
      <c r="AQ80" s="45">
        <v>120</v>
      </c>
      <c r="AR80" s="19">
        <f t="shared" si="3"/>
        <v>96</v>
      </c>
    </row>
    <row r="81" spans="1:44">
      <c r="A81" s="91"/>
      <c r="B81" s="26" t="s">
        <v>55</v>
      </c>
      <c r="C81" s="27" t="s">
        <v>28</v>
      </c>
      <c r="D81" s="8" t="s">
        <v>128</v>
      </c>
      <c r="E81" s="24" t="s">
        <v>76</v>
      </c>
      <c r="F81" s="25">
        <v>1</v>
      </c>
      <c r="G81" s="24"/>
      <c r="H81" s="16"/>
      <c r="I81" s="16"/>
      <c r="J81" s="16"/>
      <c r="K81" s="55"/>
      <c r="L81" s="17"/>
      <c r="M81" s="16">
        <v>1</v>
      </c>
      <c r="N81" s="16"/>
      <c r="O81" s="16"/>
      <c r="P81" s="16"/>
      <c r="Q81" s="16"/>
      <c r="R81" s="17"/>
      <c r="S81" s="17"/>
      <c r="T81" s="16">
        <v>1</v>
      </c>
      <c r="U81" s="16"/>
      <c r="V81" s="16"/>
      <c r="W81" s="16"/>
      <c r="X81" s="16"/>
      <c r="Y81" s="17"/>
      <c r="Z81" s="17"/>
      <c r="AA81" s="16">
        <v>1</v>
      </c>
      <c r="AB81" s="16"/>
      <c r="AC81" s="16"/>
      <c r="AD81" s="16"/>
      <c r="AE81" s="16"/>
      <c r="AF81" s="17"/>
      <c r="AG81" s="17"/>
      <c r="AH81" s="16"/>
      <c r="AI81" s="16"/>
      <c r="AJ81" s="16"/>
      <c r="AK81" s="16"/>
      <c r="AL81" s="16"/>
      <c r="AM81" s="17"/>
      <c r="AN81" s="17"/>
      <c r="AO81" s="16">
        <f t="shared" si="2"/>
        <v>4</v>
      </c>
      <c r="AP81" s="16"/>
      <c r="AQ81" s="45"/>
      <c r="AR81" s="19" t="str">
        <f t="shared" si="3"/>
        <v/>
      </c>
    </row>
    <row r="82" spans="1:44" ht="25.5" customHeight="1">
      <c r="A82" s="91" t="s">
        <v>202</v>
      </c>
      <c r="B82" s="100" t="s">
        <v>55</v>
      </c>
      <c r="C82" s="101" t="s">
        <v>115</v>
      </c>
      <c r="D82" s="75" t="s">
        <v>203</v>
      </c>
      <c r="E82" s="15" t="s">
        <v>45</v>
      </c>
      <c r="F82" s="25"/>
      <c r="G82" s="24"/>
      <c r="H82" s="16"/>
      <c r="I82" s="16"/>
      <c r="J82" s="16"/>
      <c r="K82" s="55"/>
      <c r="L82" s="17"/>
      <c r="M82" s="16"/>
      <c r="N82" s="16"/>
      <c r="O82" s="16">
        <v>4</v>
      </c>
      <c r="P82" s="16">
        <v>4</v>
      </c>
      <c r="Q82" s="16"/>
      <c r="R82" s="17"/>
      <c r="S82" s="17"/>
      <c r="T82" s="16"/>
      <c r="U82" s="16"/>
      <c r="V82" s="16">
        <v>4</v>
      </c>
      <c r="W82" s="16">
        <v>4</v>
      </c>
      <c r="X82" s="16"/>
      <c r="Y82" s="17"/>
      <c r="Z82" s="17"/>
      <c r="AA82" s="16"/>
      <c r="AB82" s="16"/>
      <c r="AC82" s="16">
        <v>4</v>
      </c>
      <c r="AD82" s="16">
        <v>4</v>
      </c>
      <c r="AE82" s="16"/>
      <c r="AF82" s="17"/>
      <c r="AG82" s="17"/>
      <c r="AH82" s="16"/>
      <c r="AI82" s="16"/>
      <c r="AJ82" s="16"/>
      <c r="AK82" s="16"/>
      <c r="AL82" s="16"/>
      <c r="AM82" s="17"/>
      <c r="AN82" s="17"/>
      <c r="AO82" s="16">
        <f t="shared" si="2"/>
        <v>24</v>
      </c>
      <c r="AP82" s="85" t="s">
        <v>165</v>
      </c>
      <c r="AQ82" s="45">
        <v>45</v>
      </c>
      <c r="AR82" s="19">
        <f t="shared" si="3"/>
        <v>36</v>
      </c>
    </row>
    <row r="83" spans="1:44" hidden="1">
      <c r="A83" s="91"/>
      <c r="B83" s="100"/>
      <c r="C83" s="101"/>
      <c r="D83" s="75"/>
      <c r="E83" s="15" t="s">
        <v>23</v>
      </c>
      <c r="F83" s="25"/>
      <c r="G83" s="24"/>
      <c r="H83" s="16"/>
      <c r="I83" s="16"/>
      <c r="J83" s="16"/>
      <c r="K83" s="55"/>
      <c r="L83" s="17"/>
      <c r="M83" s="16"/>
      <c r="N83" s="16"/>
      <c r="O83" s="16"/>
      <c r="P83" s="16"/>
      <c r="Q83" s="16"/>
      <c r="R83" s="17"/>
      <c r="S83" s="17"/>
      <c r="T83" s="16"/>
      <c r="U83" s="16"/>
      <c r="V83" s="16"/>
      <c r="W83" s="16"/>
      <c r="X83" s="16"/>
      <c r="Y83" s="17"/>
      <c r="Z83" s="17"/>
      <c r="AA83" s="16"/>
      <c r="AB83" s="16"/>
      <c r="AC83" s="16"/>
      <c r="AD83" s="16"/>
      <c r="AE83" s="16"/>
      <c r="AF83" s="17"/>
      <c r="AG83" s="17"/>
      <c r="AH83" s="16"/>
      <c r="AI83" s="16"/>
      <c r="AJ83" s="16"/>
      <c r="AK83" s="16"/>
      <c r="AL83" s="16"/>
      <c r="AM83" s="17"/>
      <c r="AN83" s="17"/>
      <c r="AO83" s="16">
        <f t="shared" si="2"/>
        <v>0</v>
      </c>
      <c r="AP83" s="89"/>
      <c r="AQ83" s="45"/>
      <c r="AR83" s="19" t="str">
        <f t="shared" si="3"/>
        <v/>
      </c>
    </row>
    <row r="84" spans="1:44">
      <c r="A84" s="91"/>
      <c r="B84" s="26" t="s">
        <v>48</v>
      </c>
      <c r="C84" s="27" t="s">
        <v>28</v>
      </c>
      <c r="D84" s="75"/>
      <c r="E84" s="24" t="s">
        <v>51</v>
      </c>
      <c r="F84" s="25"/>
      <c r="G84" s="24"/>
      <c r="H84" s="16"/>
      <c r="I84" s="16"/>
      <c r="J84" s="16"/>
      <c r="K84" s="55"/>
      <c r="L84" s="17"/>
      <c r="M84" s="16"/>
      <c r="N84" s="16"/>
      <c r="O84" s="16">
        <v>1</v>
      </c>
      <c r="P84" s="16"/>
      <c r="Q84" s="16"/>
      <c r="R84" s="17"/>
      <c r="S84" s="17"/>
      <c r="T84" s="16"/>
      <c r="U84" s="16"/>
      <c r="V84" s="16"/>
      <c r="W84" s="16"/>
      <c r="X84" s="16"/>
      <c r="Y84" s="17"/>
      <c r="Z84" s="17"/>
      <c r="AA84" s="16"/>
      <c r="AB84" s="16"/>
      <c r="AC84" s="16">
        <v>1</v>
      </c>
      <c r="AD84" s="16"/>
      <c r="AE84" s="16"/>
      <c r="AF84" s="17"/>
      <c r="AG84" s="17"/>
      <c r="AH84" s="16"/>
      <c r="AI84" s="16"/>
      <c r="AJ84" s="16"/>
      <c r="AK84" s="16"/>
      <c r="AL84" s="16"/>
      <c r="AM84" s="17"/>
      <c r="AN84" s="17"/>
      <c r="AO84" s="16">
        <f t="shared" si="2"/>
        <v>2</v>
      </c>
      <c r="AP84" s="16"/>
      <c r="AQ84" s="45"/>
      <c r="AR84" s="19" t="str">
        <f t="shared" si="3"/>
        <v/>
      </c>
    </row>
    <row r="85" spans="1:44" ht="18.75" customHeight="1">
      <c r="A85" s="91" t="s">
        <v>205</v>
      </c>
      <c r="B85" s="77" t="s">
        <v>50</v>
      </c>
      <c r="C85" s="90" t="s">
        <v>75</v>
      </c>
      <c r="D85" s="75" t="s">
        <v>204</v>
      </c>
      <c r="E85" s="15" t="s">
        <v>45</v>
      </c>
      <c r="F85" s="25"/>
      <c r="G85" s="24"/>
      <c r="H85" s="16"/>
      <c r="I85" s="16"/>
      <c r="J85" s="16"/>
      <c r="K85" s="17">
        <v>5</v>
      </c>
      <c r="L85" s="17"/>
      <c r="M85" s="16"/>
      <c r="N85" s="16"/>
      <c r="O85" s="16"/>
      <c r="P85" s="16"/>
      <c r="Q85" s="16"/>
      <c r="R85" s="17">
        <v>5</v>
      </c>
      <c r="S85" s="17"/>
      <c r="T85" s="16"/>
      <c r="U85" s="16"/>
      <c r="V85" s="16"/>
      <c r="W85" s="16"/>
      <c r="X85" s="16"/>
      <c r="Y85" s="17"/>
      <c r="Z85" s="17"/>
      <c r="AA85" s="16"/>
      <c r="AB85" s="16"/>
      <c r="AC85" s="16"/>
      <c r="AD85" s="16"/>
      <c r="AE85" s="16"/>
      <c r="AF85" s="17"/>
      <c r="AG85" s="17"/>
      <c r="AH85" s="16"/>
      <c r="AI85" s="16"/>
      <c r="AJ85" s="16"/>
      <c r="AK85" s="16"/>
      <c r="AL85" s="16"/>
      <c r="AM85" s="17"/>
      <c r="AN85" s="17"/>
      <c r="AO85" s="16">
        <f t="shared" si="2"/>
        <v>10</v>
      </c>
      <c r="AP85" s="85" t="s">
        <v>206</v>
      </c>
      <c r="AQ85" s="45">
        <v>45</v>
      </c>
      <c r="AR85" s="19">
        <f t="shared" si="3"/>
        <v>36</v>
      </c>
    </row>
    <row r="86" spans="1:44">
      <c r="A86" s="91"/>
      <c r="B86" s="78"/>
      <c r="C86" s="80"/>
      <c r="D86" s="75"/>
      <c r="E86" s="15" t="s">
        <v>23</v>
      </c>
      <c r="F86" s="25"/>
      <c r="G86" s="24"/>
      <c r="H86" s="16"/>
      <c r="I86" s="16"/>
      <c r="J86" s="16">
        <v>5</v>
      </c>
      <c r="K86" s="17">
        <v>4</v>
      </c>
      <c r="L86" s="17"/>
      <c r="M86" s="16"/>
      <c r="N86" s="16"/>
      <c r="O86" s="16"/>
      <c r="P86" s="16"/>
      <c r="Q86" s="16">
        <v>5</v>
      </c>
      <c r="R86" s="17">
        <v>4</v>
      </c>
      <c r="S86" s="17"/>
      <c r="T86" s="16"/>
      <c r="U86" s="16"/>
      <c r="V86" s="16"/>
      <c r="W86" s="16"/>
      <c r="X86" s="16"/>
      <c r="Y86" s="17"/>
      <c r="Z86" s="17"/>
      <c r="AA86" s="16"/>
      <c r="AB86" s="16"/>
      <c r="AC86" s="16"/>
      <c r="AD86" s="16"/>
      <c r="AE86" s="16"/>
      <c r="AF86" s="17"/>
      <c r="AG86" s="17"/>
      <c r="AH86" s="16"/>
      <c r="AI86" s="16"/>
      <c r="AJ86" s="16"/>
      <c r="AK86" s="16"/>
      <c r="AL86" s="16"/>
      <c r="AM86" s="17"/>
      <c r="AN86" s="17"/>
      <c r="AO86" s="16">
        <f t="shared" si="2"/>
        <v>18</v>
      </c>
      <c r="AP86" s="89"/>
      <c r="AQ86" s="45"/>
      <c r="AR86" s="19" t="str">
        <f t="shared" si="3"/>
        <v/>
      </c>
    </row>
    <row r="87" spans="1:44">
      <c r="A87" s="91"/>
      <c r="B87" s="77" t="s">
        <v>42</v>
      </c>
      <c r="C87" s="90" t="s">
        <v>61</v>
      </c>
      <c r="D87" s="75"/>
      <c r="E87" s="15" t="s">
        <v>45</v>
      </c>
      <c r="F87" s="25"/>
      <c r="G87" s="25"/>
      <c r="H87" s="16"/>
      <c r="I87" s="16"/>
      <c r="J87" s="16"/>
      <c r="K87" s="17"/>
      <c r="L87" s="17"/>
      <c r="M87" s="16"/>
      <c r="N87" s="16"/>
      <c r="O87" s="16"/>
      <c r="P87" s="16"/>
      <c r="Q87" s="16"/>
      <c r="R87" s="17"/>
      <c r="S87" s="17"/>
      <c r="T87" s="16"/>
      <c r="U87" s="16"/>
      <c r="V87" s="16"/>
      <c r="W87" s="16"/>
      <c r="X87" s="16"/>
      <c r="Y87" s="17">
        <v>5</v>
      </c>
      <c r="Z87" s="17"/>
      <c r="AA87" s="16"/>
      <c r="AB87" s="16"/>
      <c r="AC87" s="16"/>
      <c r="AD87" s="16"/>
      <c r="AE87" s="16"/>
      <c r="AF87" s="17"/>
      <c r="AG87" s="17"/>
      <c r="AH87" s="16"/>
      <c r="AI87" s="16"/>
      <c r="AJ87" s="16"/>
      <c r="AK87" s="16"/>
      <c r="AL87" s="16"/>
      <c r="AM87" s="17"/>
      <c r="AN87" s="17"/>
      <c r="AO87" s="16">
        <f t="shared" si="2"/>
        <v>5</v>
      </c>
      <c r="AP87" s="85" t="s">
        <v>207</v>
      </c>
      <c r="AQ87" s="45">
        <v>30</v>
      </c>
      <c r="AR87" s="19">
        <f t="shared" si="3"/>
        <v>24</v>
      </c>
    </row>
    <row r="88" spans="1:44">
      <c r="A88" s="91"/>
      <c r="B88" s="78"/>
      <c r="C88" s="80"/>
      <c r="D88" s="75"/>
      <c r="E88" s="15" t="s">
        <v>23</v>
      </c>
      <c r="F88" s="25"/>
      <c r="G88" s="25"/>
      <c r="H88" s="16"/>
      <c r="I88" s="16"/>
      <c r="J88" s="16"/>
      <c r="K88" s="17"/>
      <c r="L88" s="17"/>
      <c r="M88" s="16"/>
      <c r="N88" s="16"/>
      <c r="O88" s="16"/>
      <c r="P88" s="16"/>
      <c r="Q88" s="16"/>
      <c r="R88" s="17"/>
      <c r="S88" s="17"/>
      <c r="T88" s="16"/>
      <c r="U88" s="16"/>
      <c r="V88" s="16"/>
      <c r="W88" s="16"/>
      <c r="X88" s="16">
        <v>5</v>
      </c>
      <c r="Y88" s="17">
        <v>4</v>
      </c>
      <c r="Z88" s="17"/>
      <c r="AA88" s="16"/>
      <c r="AB88" s="16"/>
      <c r="AC88" s="16"/>
      <c r="AD88" s="16"/>
      <c r="AE88" s="16"/>
      <c r="AF88" s="17"/>
      <c r="AG88" s="17"/>
      <c r="AH88" s="16"/>
      <c r="AI88" s="16"/>
      <c r="AJ88" s="16"/>
      <c r="AK88" s="16"/>
      <c r="AL88" s="16"/>
      <c r="AM88" s="17"/>
      <c r="AN88" s="17"/>
      <c r="AO88" s="16">
        <f t="shared" si="2"/>
        <v>9</v>
      </c>
      <c r="AP88" s="89"/>
      <c r="AQ88" s="45"/>
      <c r="AR88" s="19" t="str">
        <f t="shared" si="3"/>
        <v/>
      </c>
    </row>
    <row r="89" spans="1:44">
      <c r="A89" s="91"/>
      <c r="B89" s="77" t="s">
        <v>117</v>
      </c>
      <c r="C89" s="90" t="s">
        <v>118</v>
      </c>
      <c r="D89" s="75"/>
      <c r="E89" s="15" t="s">
        <v>45</v>
      </c>
      <c r="F89" s="25"/>
      <c r="G89" s="25"/>
      <c r="H89" s="16"/>
      <c r="I89" s="16"/>
      <c r="J89" s="16"/>
      <c r="K89" s="17"/>
      <c r="L89" s="17"/>
      <c r="M89" s="16"/>
      <c r="N89" s="16"/>
      <c r="O89" s="16"/>
      <c r="P89" s="16"/>
      <c r="Q89" s="16"/>
      <c r="R89" s="17"/>
      <c r="S89" s="17"/>
      <c r="T89" s="16"/>
      <c r="U89" s="16"/>
      <c r="V89" s="16"/>
      <c r="W89" s="16"/>
      <c r="X89" s="16"/>
      <c r="Y89" s="17"/>
      <c r="Z89" s="17"/>
      <c r="AA89" s="16"/>
      <c r="AB89" s="16"/>
      <c r="AC89" s="16"/>
      <c r="AD89" s="16"/>
      <c r="AE89" s="16"/>
      <c r="AF89" s="17">
        <v>5</v>
      </c>
      <c r="AG89" s="17"/>
      <c r="AH89" s="16"/>
      <c r="AI89" s="16"/>
      <c r="AJ89" s="16"/>
      <c r="AK89" s="16"/>
      <c r="AL89" s="16"/>
      <c r="AM89" s="17"/>
      <c r="AN89" s="17"/>
      <c r="AO89" s="16">
        <f t="shared" si="2"/>
        <v>5</v>
      </c>
      <c r="AP89" s="85" t="s">
        <v>207</v>
      </c>
      <c r="AQ89" s="45">
        <v>30</v>
      </c>
      <c r="AR89" s="19">
        <f t="shared" si="3"/>
        <v>24</v>
      </c>
    </row>
    <row r="90" spans="1:44">
      <c r="A90" s="91"/>
      <c r="B90" s="78"/>
      <c r="C90" s="80"/>
      <c r="D90" s="75"/>
      <c r="E90" s="15" t="s">
        <v>23</v>
      </c>
      <c r="F90" s="24"/>
      <c r="G90" s="24"/>
      <c r="H90" s="16"/>
      <c r="I90" s="16"/>
      <c r="J90" s="16"/>
      <c r="K90" s="17"/>
      <c r="L90" s="17"/>
      <c r="M90" s="16"/>
      <c r="N90" s="16"/>
      <c r="O90" s="16"/>
      <c r="P90" s="16"/>
      <c r="Q90" s="16"/>
      <c r="R90" s="17"/>
      <c r="S90" s="17"/>
      <c r="T90" s="16"/>
      <c r="U90" s="16"/>
      <c r="V90" s="16"/>
      <c r="W90" s="16"/>
      <c r="X90" s="16"/>
      <c r="Y90" s="17"/>
      <c r="Z90" s="17"/>
      <c r="AA90" s="16"/>
      <c r="AB90" s="16"/>
      <c r="AC90" s="16"/>
      <c r="AD90" s="16"/>
      <c r="AE90" s="16">
        <v>5</v>
      </c>
      <c r="AF90" s="17">
        <v>4</v>
      </c>
      <c r="AG90" s="17"/>
      <c r="AH90" s="16"/>
      <c r="AI90" s="16"/>
      <c r="AJ90" s="16"/>
      <c r="AK90" s="16"/>
      <c r="AL90" s="16"/>
      <c r="AM90" s="16"/>
      <c r="AN90" s="16"/>
      <c r="AO90" s="16">
        <f t="shared" si="2"/>
        <v>9</v>
      </c>
      <c r="AP90" s="89"/>
      <c r="AQ90" s="45"/>
      <c r="AR90" s="19" t="str">
        <f t="shared" si="3"/>
        <v/>
      </c>
    </row>
    <row r="91" spans="1:44">
      <c r="A91" s="91"/>
      <c r="B91" s="46" t="s">
        <v>20</v>
      </c>
      <c r="C91" s="46" t="s">
        <v>28</v>
      </c>
      <c r="D91" s="75"/>
      <c r="E91" s="24" t="s">
        <v>30</v>
      </c>
      <c r="F91" s="24"/>
      <c r="G91" s="24"/>
      <c r="H91" s="16"/>
      <c r="I91" s="16"/>
      <c r="J91" s="16"/>
      <c r="K91" s="17"/>
      <c r="L91" s="17"/>
      <c r="M91" s="16"/>
      <c r="N91" s="16"/>
      <c r="O91" s="16"/>
      <c r="P91" s="16"/>
      <c r="Q91" s="16"/>
      <c r="R91" s="17">
        <v>1</v>
      </c>
      <c r="S91" s="17"/>
      <c r="T91" s="16"/>
      <c r="U91" s="16"/>
      <c r="V91" s="16"/>
      <c r="W91" s="16"/>
      <c r="X91" s="16"/>
      <c r="Y91" s="17"/>
      <c r="Z91" s="17"/>
      <c r="AA91" s="16"/>
      <c r="AB91" s="16"/>
      <c r="AC91" s="16"/>
      <c r="AD91" s="16"/>
      <c r="AE91" s="16"/>
      <c r="AF91" s="17">
        <v>1</v>
      </c>
      <c r="AG91" s="17"/>
      <c r="AH91" s="16"/>
      <c r="AI91" s="16"/>
      <c r="AJ91" s="16"/>
      <c r="AK91" s="16"/>
      <c r="AL91" s="16"/>
      <c r="AM91" s="16"/>
      <c r="AN91" s="16"/>
      <c r="AO91" s="16">
        <f t="shared" si="2"/>
        <v>2</v>
      </c>
      <c r="AP91" s="62"/>
      <c r="AQ91" s="45"/>
      <c r="AR91" s="19" t="str">
        <f t="shared" si="3"/>
        <v/>
      </c>
    </row>
    <row r="92" spans="1:44" ht="44.25" customHeight="1">
      <c r="A92" s="73" t="s">
        <v>219</v>
      </c>
      <c r="B92" s="26" t="s">
        <v>36</v>
      </c>
      <c r="C92" s="26" t="s">
        <v>119</v>
      </c>
      <c r="D92" s="75" t="s">
        <v>218</v>
      </c>
      <c r="E92" s="15" t="s">
        <v>23</v>
      </c>
      <c r="F92" s="24"/>
      <c r="G92" s="24"/>
      <c r="H92" s="16"/>
      <c r="I92" s="16"/>
      <c r="J92" s="16"/>
      <c r="K92" s="17"/>
      <c r="L92" s="17"/>
      <c r="M92" s="16"/>
      <c r="N92" s="16">
        <v>4</v>
      </c>
      <c r="O92" s="16">
        <v>4</v>
      </c>
      <c r="P92" s="16"/>
      <c r="Q92" s="16"/>
      <c r="R92" s="17"/>
      <c r="S92" s="17"/>
      <c r="T92" s="16"/>
      <c r="U92" s="16">
        <v>4</v>
      </c>
      <c r="V92" s="16">
        <v>4</v>
      </c>
      <c r="W92" s="16"/>
      <c r="X92" s="16"/>
      <c r="Y92" s="17"/>
      <c r="Z92" s="17"/>
      <c r="AA92" s="16"/>
      <c r="AB92" s="16">
        <v>4</v>
      </c>
      <c r="AC92" s="16">
        <v>4</v>
      </c>
      <c r="AD92" s="16"/>
      <c r="AE92" s="16"/>
      <c r="AF92" s="17"/>
      <c r="AG92" s="17"/>
      <c r="AH92" s="16"/>
      <c r="AI92" s="16"/>
      <c r="AJ92" s="16"/>
      <c r="AK92" s="16"/>
      <c r="AL92" s="16"/>
      <c r="AM92" s="16"/>
      <c r="AN92" s="16"/>
      <c r="AO92" s="16">
        <f t="shared" si="2"/>
        <v>24</v>
      </c>
      <c r="AP92" s="56" t="s">
        <v>165</v>
      </c>
      <c r="AQ92" s="45">
        <v>45</v>
      </c>
      <c r="AR92" s="19">
        <f t="shared" si="3"/>
        <v>36</v>
      </c>
    </row>
    <row r="93" spans="1:44" ht="18.75" customHeight="1">
      <c r="A93" s="73"/>
      <c r="B93" s="59" t="s">
        <v>20</v>
      </c>
      <c r="C93" s="26" t="s">
        <v>28</v>
      </c>
      <c r="D93" s="75"/>
      <c r="E93" s="24" t="s">
        <v>30</v>
      </c>
      <c r="F93" s="24"/>
      <c r="G93" s="24"/>
      <c r="H93" s="16"/>
      <c r="I93" s="16"/>
      <c r="J93" s="16"/>
      <c r="K93" s="17"/>
      <c r="L93" s="17"/>
      <c r="M93" s="16"/>
      <c r="N93" s="16">
        <v>1</v>
      </c>
      <c r="O93" s="16"/>
      <c r="P93" s="16"/>
      <c r="Q93" s="16"/>
      <c r="R93" s="17"/>
      <c r="S93" s="17"/>
      <c r="T93" s="16"/>
      <c r="U93" s="16"/>
      <c r="V93" s="16"/>
      <c r="W93" s="16"/>
      <c r="X93" s="16"/>
      <c r="Y93" s="17"/>
      <c r="Z93" s="17"/>
      <c r="AA93" s="16"/>
      <c r="AB93" s="16">
        <v>1</v>
      </c>
      <c r="AC93" s="16"/>
      <c r="AD93" s="16"/>
      <c r="AE93" s="16"/>
      <c r="AF93" s="17"/>
      <c r="AG93" s="17"/>
      <c r="AH93" s="16"/>
      <c r="AI93" s="16"/>
      <c r="AJ93" s="16"/>
      <c r="AK93" s="16"/>
      <c r="AL93" s="16"/>
      <c r="AM93" s="16"/>
      <c r="AN93" s="16"/>
      <c r="AO93" s="16">
        <f t="shared" si="2"/>
        <v>2</v>
      </c>
      <c r="AP93" s="62"/>
      <c r="AQ93" s="45"/>
      <c r="AR93" s="19" t="str">
        <f t="shared" si="3"/>
        <v/>
      </c>
    </row>
    <row r="94" spans="1:44" ht="45" customHeight="1">
      <c r="A94" s="73" t="s">
        <v>230</v>
      </c>
      <c r="B94" s="59" t="s">
        <v>58</v>
      </c>
      <c r="C94" s="59" t="s">
        <v>59</v>
      </c>
      <c r="D94" s="73" t="s">
        <v>221</v>
      </c>
      <c r="E94" s="15" t="s">
        <v>23</v>
      </c>
      <c r="F94" s="24"/>
      <c r="G94" s="24"/>
      <c r="H94" s="16"/>
      <c r="I94" s="16"/>
      <c r="J94" s="16"/>
      <c r="K94" s="17"/>
      <c r="L94" s="17"/>
      <c r="M94" s="16"/>
      <c r="N94" s="16">
        <v>4</v>
      </c>
      <c r="O94" s="16">
        <v>4</v>
      </c>
      <c r="P94" s="16"/>
      <c r="Q94" s="16"/>
      <c r="R94" s="17"/>
      <c r="S94" s="17"/>
      <c r="T94" s="16"/>
      <c r="U94" s="16">
        <v>4</v>
      </c>
      <c r="V94" s="16">
        <v>4</v>
      </c>
      <c r="W94" s="16"/>
      <c r="X94" s="16"/>
      <c r="Y94" s="17"/>
      <c r="Z94" s="17"/>
      <c r="AA94" s="16"/>
      <c r="AB94" s="16">
        <v>4</v>
      </c>
      <c r="AC94" s="16">
        <v>4</v>
      </c>
      <c r="AD94" s="16"/>
      <c r="AE94" s="16"/>
      <c r="AF94" s="17"/>
      <c r="AG94" s="17"/>
      <c r="AH94" s="16"/>
      <c r="AI94" s="16"/>
      <c r="AJ94" s="16"/>
      <c r="AK94" s="16"/>
      <c r="AL94" s="16"/>
      <c r="AM94" s="16"/>
      <c r="AN94" s="16"/>
      <c r="AO94" s="16">
        <f t="shared" si="2"/>
        <v>24</v>
      </c>
      <c r="AP94" s="56" t="s">
        <v>220</v>
      </c>
      <c r="AQ94" s="45">
        <v>90</v>
      </c>
      <c r="AR94" s="19">
        <f t="shared" si="3"/>
        <v>72</v>
      </c>
    </row>
    <row r="95" spans="1:44">
      <c r="A95" s="73"/>
      <c r="B95" s="59" t="s">
        <v>123</v>
      </c>
      <c r="C95" s="59" t="s">
        <v>28</v>
      </c>
      <c r="D95" s="75"/>
      <c r="E95" s="24" t="s">
        <v>30</v>
      </c>
      <c r="F95" s="24"/>
      <c r="G95" s="24"/>
      <c r="H95" s="16"/>
      <c r="I95" s="16"/>
      <c r="J95" s="16"/>
      <c r="K95" s="17"/>
      <c r="L95" s="17"/>
      <c r="M95" s="16"/>
      <c r="N95" s="16">
        <v>1</v>
      </c>
      <c r="O95" s="16"/>
      <c r="P95" s="16"/>
      <c r="Q95" s="16"/>
      <c r="R95" s="17"/>
      <c r="S95" s="17"/>
      <c r="T95" s="16"/>
      <c r="U95" s="16"/>
      <c r="V95" s="16"/>
      <c r="W95" s="16"/>
      <c r="X95" s="16"/>
      <c r="Y95" s="17"/>
      <c r="Z95" s="17"/>
      <c r="AA95" s="16"/>
      <c r="AB95" s="16">
        <v>1</v>
      </c>
      <c r="AC95" s="16"/>
      <c r="AD95" s="16"/>
      <c r="AE95" s="16"/>
      <c r="AF95" s="17"/>
      <c r="AG95" s="17"/>
      <c r="AH95" s="16"/>
      <c r="AI95" s="16"/>
      <c r="AJ95" s="16"/>
      <c r="AK95" s="16"/>
      <c r="AL95" s="16"/>
      <c r="AM95" s="16"/>
      <c r="AN95" s="16"/>
      <c r="AO95" s="16">
        <f t="shared" si="2"/>
        <v>2</v>
      </c>
      <c r="AP95" s="62"/>
      <c r="AQ95" s="45"/>
      <c r="AR95" s="19" t="str">
        <f t="shared" si="3"/>
        <v/>
      </c>
    </row>
    <row r="96" spans="1:44">
      <c r="A96" s="73" t="s">
        <v>229</v>
      </c>
      <c r="B96" s="103" t="s">
        <v>42</v>
      </c>
      <c r="C96" s="79" t="s">
        <v>61</v>
      </c>
      <c r="D96" s="73" t="s">
        <v>222</v>
      </c>
      <c r="E96" s="15" t="s">
        <v>45</v>
      </c>
      <c r="F96" s="24"/>
      <c r="G96" s="24"/>
      <c r="H96" s="16"/>
      <c r="I96" s="16"/>
      <c r="J96" s="16"/>
      <c r="K96" s="17"/>
      <c r="L96" s="17"/>
      <c r="M96" s="16"/>
      <c r="N96" s="16"/>
      <c r="O96" s="16"/>
      <c r="P96" s="16"/>
      <c r="Q96" s="16"/>
      <c r="R96" s="17">
        <v>5</v>
      </c>
      <c r="S96" s="17"/>
      <c r="T96" s="16"/>
      <c r="U96" s="16"/>
      <c r="V96" s="16"/>
      <c r="W96" s="16"/>
      <c r="X96" s="16"/>
      <c r="Y96" s="17"/>
      <c r="Z96" s="17"/>
      <c r="AA96" s="16"/>
      <c r="AB96" s="16"/>
      <c r="AC96" s="16"/>
      <c r="AD96" s="16"/>
      <c r="AE96" s="16"/>
      <c r="AF96" s="17"/>
      <c r="AG96" s="17"/>
      <c r="AH96" s="16"/>
      <c r="AI96" s="16"/>
      <c r="AJ96" s="16"/>
      <c r="AK96" s="16"/>
      <c r="AL96" s="16"/>
      <c r="AM96" s="16"/>
      <c r="AN96" s="16"/>
      <c r="AO96" s="16">
        <f t="shared" si="2"/>
        <v>5</v>
      </c>
      <c r="AP96" s="71" t="s">
        <v>207</v>
      </c>
      <c r="AQ96" s="45">
        <v>30</v>
      </c>
      <c r="AR96" s="19">
        <f t="shared" si="3"/>
        <v>24</v>
      </c>
    </row>
    <row r="97" spans="1:44">
      <c r="A97" s="73"/>
      <c r="B97" s="104"/>
      <c r="C97" s="102"/>
      <c r="D97" s="75"/>
      <c r="E97" s="15" t="s">
        <v>23</v>
      </c>
      <c r="F97" s="24"/>
      <c r="G97" s="24"/>
      <c r="H97" s="16"/>
      <c r="I97" s="16"/>
      <c r="J97" s="16"/>
      <c r="K97" s="17"/>
      <c r="L97" s="17"/>
      <c r="M97" s="16"/>
      <c r="N97" s="16"/>
      <c r="O97" s="16"/>
      <c r="P97" s="16"/>
      <c r="Q97" s="16">
        <v>5</v>
      </c>
      <c r="R97" s="17">
        <v>4</v>
      </c>
      <c r="S97" s="17"/>
      <c r="T97" s="16"/>
      <c r="U97" s="16"/>
      <c r="V97" s="16"/>
      <c r="W97" s="16"/>
      <c r="X97" s="16"/>
      <c r="Y97" s="17"/>
      <c r="Z97" s="17"/>
      <c r="AA97" s="16"/>
      <c r="AB97" s="16"/>
      <c r="AC97" s="16"/>
      <c r="AD97" s="16"/>
      <c r="AE97" s="16"/>
      <c r="AF97" s="17"/>
      <c r="AG97" s="17"/>
      <c r="AH97" s="16"/>
      <c r="AI97" s="16"/>
      <c r="AJ97" s="16"/>
      <c r="AK97" s="16"/>
      <c r="AL97" s="16"/>
      <c r="AM97" s="16"/>
      <c r="AN97" s="16"/>
      <c r="AO97" s="16">
        <f t="shared" si="2"/>
        <v>9</v>
      </c>
      <c r="AP97" s="72"/>
      <c r="AQ97" s="45"/>
      <c r="AR97" s="19" t="str">
        <f t="shared" si="3"/>
        <v/>
      </c>
    </row>
    <row r="98" spans="1:44">
      <c r="A98" s="73"/>
      <c r="B98" s="103" t="s">
        <v>50</v>
      </c>
      <c r="C98" s="79" t="s">
        <v>75</v>
      </c>
      <c r="D98" s="75"/>
      <c r="E98" s="15" t="s">
        <v>45</v>
      </c>
      <c r="F98" s="24"/>
      <c r="G98" s="24"/>
      <c r="H98" s="16"/>
      <c r="I98" s="16"/>
      <c r="J98" s="16"/>
      <c r="K98" s="17"/>
      <c r="L98" s="17"/>
      <c r="M98" s="16"/>
      <c r="N98" s="16"/>
      <c r="O98" s="16"/>
      <c r="P98" s="16"/>
      <c r="Q98" s="16"/>
      <c r="R98" s="17"/>
      <c r="S98" s="17"/>
      <c r="T98" s="16"/>
      <c r="U98" s="16"/>
      <c r="V98" s="16"/>
      <c r="W98" s="16"/>
      <c r="X98" s="16"/>
      <c r="Y98" s="17">
        <v>5</v>
      </c>
      <c r="Z98" s="17"/>
      <c r="AA98" s="16"/>
      <c r="AB98" s="16"/>
      <c r="AC98" s="16"/>
      <c r="AD98" s="16"/>
      <c r="AE98" s="16"/>
      <c r="AF98" s="17">
        <v>5</v>
      </c>
      <c r="AG98" s="17"/>
      <c r="AH98" s="16"/>
      <c r="AI98" s="16"/>
      <c r="AJ98" s="16"/>
      <c r="AK98" s="16"/>
      <c r="AL98" s="16"/>
      <c r="AM98" s="16"/>
      <c r="AN98" s="16"/>
      <c r="AO98" s="16">
        <f t="shared" si="2"/>
        <v>10</v>
      </c>
      <c r="AP98" s="71" t="s">
        <v>206</v>
      </c>
      <c r="AQ98" s="45">
        <v>45</v>
      </c>
      <c r="AR98" s="19">
        <f t="shared" si="3"/>
        <v>36</v>
      </c>
    </row>
    <row r="99" spans="1:44">
      <c r="A99" s="73"/>
      <c r="B99" s="104"/>
      <c r="C99" s="102"/>
      <c r="D99" s="75"/>
      <c r="E99" s="15" t="s">
        <v>23</v>
      </c>
      <c r="F99" s="24"/>
      <c r="G99" s="24"/>
      <c r="H99" s="16"/>
      <c r="I99" s="16"/>
      <c r="J99" s="16"/>
      <c r="K99" s="17"/>
      <c r="L99" s="17"/>
      <c r="M99" s="16"/>
      <c r="N99" s="16"/>
      <c r="O99" s="16"/>
      <c r="P99" s="16"/>
      <c r="Q99" s="16"/>
      <c r="R99" s="17"/>
      <c r="S99" s="17"/>
      <c r="T99" s="16"/>
      <c r="U99" s="16"/>
      <c r="V99" s="16"/>
      <c r="W99" s="16"/>
      <c r="X99" s="16">
        <v>5</v>
      </c>
      <c r="Y99" s="17">
        <v>4</v>
      </c>
      <c r="Z99" s="17"/>
      <c r="AA99" s="16"/>
      <c r="AB99" s="16"/>
      <c r="AC99" s="16"/>
      <c r="AD99" s="16"/>
      <c r="AE99" s="16">
        <v>5</v>
      </c>
      <c r="AF99" s="17">
        <v>4</v>
      </c>
      <c r="AG99" s="17"/>
      <c r="AH99" s="16"/>
      <c r="AI99" s="16"/>
      <c r="AJ99" s="16"/>
      <c r="AK99" s="16"/>
      <c r="AL99" s="16"/>
      <c r="AM99" s="16"/>
      <c r="AN99" s="16"/>
      <c r="AO99" s="16">
        <f t="shared" si="2"/>
        <v>18</v>
      </c>
      <c r="AP99" s="72"/>
      <c r="AQ99" s="45"/>
      <c r="AR99" s="19" t="str">
        <f t="shared" si="3"/>
        <v/>
      </c>
    </row>
    <row r="100" spans="1:44">
      <c r="A100" s="73"/>
      <c r="B100" s="70" t="s">
        <v>55</v>
      </c>
      <c r="C100" s="70" t="s">
        <v>28</v>
      </c>
      <c r="D100" s="75"/>
      <c r="E100" s="24" t="s">
        <v>30</v>
      </c>
      <c r="F100" s="24"/>
      <c r="G100" s="24"/>
      <c r="H100" s="16"/>
      <c r="I100" s="16"/>
      <c r="J100" s="16"/>
      <c r="K100" s="17"/>
      <c r="L100" s="17"/>
      <c r="M100" s="16"/>
      <c r="N100" s="16"/>
      <c r="O100" s="16"/>
      <c r="P100" s="16"/>
      <c r="Q100" s="16"/>
      <c r="R100" s="17">
        <v>1</v>
      </c>
      <c r="S100" s="17"/>
      <c r="T100" s="16"/>
      <c r="U100" s="16"/>
      <c r="V100" s="16"/>
      <c r="W100" s="16"/>
      <c r="X100" s="16"/>
      <c r="Y100" s="17"/>
      <c r="Z100" s="17"/>
      <c r="AA100" s="16"/>
      <c r="AB100" s="16"/>
      <c r="AC100" s="16"/>
      <c r="AD100" s="16"/>
      <c r="AE100" s="16"/>
      <c r="AF100" s="17">
        <v>1</v>
      </c>
      <c r="AG100" s="17"/>
      <c r="AH100" s="16"/>
      <c r="AI100" s="16"/>
      <c r="AJ100" s="16"/>
      <c r="AK100" s="16"/>
      <c r="AL100" s="16"/>
      <c r="AM100" s="16"/>
      <c r="AN100" s="16"/>
      <c r="AO100" s="16">
        <f t="shared" si="2"/>
        <v>2</v>
      </c>
      <c r="AP100" s="62"/>
      <c r="AQ100" s="45"/>
      <c r="AR100" s="19" t="str">
        <f t="shared" si="3"/>
        <v/>
      </c>
    </row>
    <row r="101" spans="1:44">
      <c r="A101" s="73" t="s">
        <v>226</v>
      </c>
      <c r="B101" s="74" t="s">
        <v>24</v>
      </c>
      <c r="C101" s="74" t="s">
        <v>25</v>
      </c>
      <c r="D101" s="75" t="s">
        <v>223</v>
      </c>
      <c r="E101" s="15" t="s">
        <v>45</v>
      </c>
      <c r="F101" s="24"/>
      <c r="G101" s="24"/>
      <c r="H101" s="16"/>
      <c r="I101" s="16"/>
      <c r="J101" s="16"/>
      <c r="K101" s="17"/>
      <c r="L101" s="17"/>
      <c r="M101" s="16"/>
      <c r="N101" s="16"/>
      <c r="O101" s="16"/>
      <c r="P101" s="16"/>
      <c r="Q101" s="16"/>
      <c r="R101" s="17">
        <v>4</v>
      </c>
      <c r="S101" s="17"/>
      <c r="T101" s="16"/>
      <c r="U101" s="16"/>
      <c r="V101" s="16"/>
      <c r="W101" s="16"/>
      <c r="X101" s="16"/>
      <c r="Y101" s="17">
        <v>4</v>
      </c>
      <c r="Z101" s="17"/>
      <c r="AA101" s="16"/>
      <c r="AB101" s="16"/>
      <c r="AC101" s="16"/>
      <c r="AD101" s="16"/>
      <c r="AE101" s="16"/>
      <c r="AF101" s="17"/>
      <c r="AG101" s="17"/>
      <c r="AH101" s="16"/>
      <c r="AI101" s="16"/>
      <c r="AJ101" s="16"/>
      <c r="AK101" s="16"/>
      <c r="AL101" s="16"/>
      <c r="AM101" s="16"/>
      <c r="AN101" s="16"/>
      <c r="AO101" s="16">
        <f t="shared" si="2"/>
        <v>8</v>
      </c>
      <c r="AP101" s="71" t="s">
        <v>224</v>
      </c>
      <c r="AQ101" s="45">
        <v>30</v>
      </c>
      <c r="AR101" s="19">
        <f t="shared" si="3"/>
        <v>24</v>
      </c>
    </row>
    <row r="102" spans="1:44">
      <c r="A102" s="73"/>
      <c r="B102" s="74"/>
      <c r="C102" s="74"/>
      <c r="D102" s="75"/>
      <c r="E102" s="15" t="s">
        <v>23</v>
      </c>
      <c r="F102" s="24"/>
      <c r="G102" s="24"/>
      <c r="H102" s="16"/>
      <c r="I102" s="16"/>
      <c r="J102" s="16"/>
      <c r="K102" s="17"/>
      <c r="L102" s="17"/>
      <c r="M102" s="16"/>
      <c r="N102" s="16"/>
      <c r="O102" s="16"/>
      <c r="P102" s="16"/>
      <c r="Q102" s="16"/>
      <c r="R102" s="17">
        <v>4</v>
      </c>
      <c r="S102" s="17"/>
      <c r="T102" s="16"/>
      <c r="U102" s="16"/>
      <c r="V102" s="16"/>
      <c r="W102" s="16"/>
      <c r="X102" s="16"/>
      <c r="Y102" s="17">
        <v>4</v>
      </c>
      <c r="Z102" s="17"/>
      <c r="AA102" s="16"/>
      <c r="AB102" s="16"/>
      <c r="AC102" s="16"/>
      <c r="AD102" s="16"/>
      <c r="AE102" s="16"/>
      <c r="AF102" s="17"/>
      <c r="AG102" s="17"/>
      <c r="AH102" s="16"/>
      <c r="AI102" s="16"/>
      <c r="AJ102" s="16"/>
      <c r="AK102" s="16"/>
      <c r="AL102" s="16"/>
      <c r="AM102" s="16"/>
      <c r="AN102" s="16"/>
      <c r="AO102" s="16">
        <f t="shared" si="2"/>
        <v>8</v>
      </c>
      <c r="AP102" s="72"/>
      <c r="AQ102" s="45"/>
      <c r="AR102" s="19" t="str">
        <f t="shared" si="3"/>
        <v/>
      </c>
    </row>
    <row r="103" spans="1:44">
      <c r="A103" s="73"/>
      <c r="B103" s="74" t="s">
        <v>48</v>
      </c>
      <c r="C103" s="74" t="s">
        <v>195</v>
      </c>
      <c r="D103" s="75"/>
      <c r="E103" s="15" t="s">
        <v>45</v>
      </c>
      <c r="F103" s="24"/>
      <c r="G103" s="24"/>
      <c r="H103" s="16"/>
      <c r="I103" s="16"/>
      <c r="J103" s="16"/>
      <c r="K103" s="17"/>
      <c r="L103" s="17"/>
      <c r="M103" s="16"/>
      <c r="N103" s="16"/>
      <c r="O103" s="16"/>
      <c r="P103" s="16"/>
      <c r="Q103" s="16"/>
      <c r="R103" s="17"/>
      <c r="S103" s="17"/>
      <c r="T103" s="16"/>
      <c r="U103" s="16"/>
      <c r="V103" s="16"/>
      <c r="W103" s="16"/>
      <c r="X103" s="16"/>
      <c r="Y103" s="17"/>
      <c r="Z103" s="17"/>
      <c r="AA103" s="16"/>
      <c r="AB103" s="16"/>
      <c r="AC103" s="16"/>
      <c r="AD103" s="16"/>
      <c r="AE103" s="16"/>
      <c r="AF103" s="17">
        <v>4</v>
      </c>
      <c r="AG103" s="17"/>
      <c r="AH103" s="16"/>
      <c r="AI103" s="16"/>
      <c r="AJ103" s="16"/>
      <c r="AK103" s="16"/>
      <c r="AL103" s="16"/>
      <c r="AM103" s="16"/>
      <c r="AN103" s="16"/>
      <c r="AO103" s="16">
        <f t="shared" si="2"/>
        <v>4</v>
      </c>
      <c r="AP103" s="71" t="s">
        <v>225</v>
      </c>
      <c r="AQ103" s="45">
        <v>15</v>
      </c>
      <c r="AR103" s="19">
        <f t="shared" si="3"/>
        <v>12</v>
      </c>
    </row>
    <row r="104" spans="1:44">
      <c r="A104" s="73"/>
      <c r="B104" s="74"/>
      <c r="C104" s="74"/>
      <c r="D104" s="75"/>
      <c r="E104" s="15" t="s">
        <v>23</v>
      </c>
      <c r="F104" s="24"/>
      <c r="G104" s="24"/>
      <c r="H104" s="16"/>
      <c r="I104" s="16"/>
      <c r="J104" s="16"/>
      <c r="K104" s="17"/>
      <c r="L104" s="17"/>
      <c r="M104" s="16"/>
      <c r="N104" s="16"/>
      <c r="O104" s="16"/>
      <c r="P104" s="16"/>
      <c r="Q104" s="16"/>
      <c r="R104" s="17"/>
      <c r="S104" s="17"/>
      <c r="T104" s="16"/>
      <c r="U104" s="16"/>
      <c r="V104" s="16"/>
      <c r="W104" s="16"/>
      <c r="X104" s="16"/>
      <c r="Y104" s="17"/>
      <c r="Z104" s="17"/>
      <c r="AA104" s="16"/>
      <c r="AB104" s="16"/>
      <c r="AC104" s="16"/>
      <c r="AD104" s="16"/>
      <c r="AE104" s="16"/>
      <c r="AF104" s="17">
        <v>4</v>
      </c>
      <c r="AG104" s="17"/>
      <c r="AH104" s="16"/>
      <c r="AI104" s="16"/>
      <c r="AJ104" s="16"/>
      <c r="AK104" s="16"/>
      <c r="AL104" s="16"/>
      <c r="AM104" s="16"/>
      <c r="AN104" s="16"/>
      <c r="AO104" s="16">
        <f t="shared" si="2"/>
        <v>4</v>
      </c>
      <c r="AP104" s="72"/>
      <c r="AQ104" s="45"/>
      <c r="AR104" s="19" t="str">
        <f t="shared" si="3"/>
        <v/>
      </c>
    </row>
    <row r="105" spans="1:44">
      <c r="A105" s="73"/>
      <c r="B105" s="70" t="s">
        <v>48</v>
      </c>
      <c r="C105" s="46" t="s">
        <v>28</v>
      </c>
      <c r="D105" s="75"/>
      <c r="E105" s="24" t="s">
        <v>30</v>
      </c>
      <c r="F105" s="24"/>
      <c r="G105" s="24"/>
      <c r="H105" s="16"/>
      <c r="I105" s="16"/>
      <c r="J105" s="16"/>
      <c r="K105" s="17"/>
      <c r="L105" s="17"/>
      <c r="M105" s="16"/>
      <c r="N105" s="16"/>
      <c r="O105" s="16"/>
      <c r="P105" s="16"/>
      <c r="Q105" s="16"/>
      <c r="R105" s="17">
        <v>1</v>
      </c>
      <c r="S105" s="17"/>
      <c r="T105" s="16"/>
      <c r="U105" s="16"/>
      <c r="V105" s="16"/>
      <c r="W105" s="16"/>
      <c r="X105" s="16"/>
      <c r="Y105" s="17"/>
      <c r="Z105" s="17"/>
      <c r="AA105" s="16"/>
      <c r="AB105" s="16"/>
      <c r="AC105" s="16"/>
      <c r="AD105" s="16"/>
      <c r="AE105" s="16"/>
      <c r="AF105" s="17">
        <v>1</v>
      </c>
      <c r="AG105" s="17"/>
      <c r="AH105" s="16"/>
      <c r="AI105" s="16"/>
      <c r="AJ105" s="16"/>
      <c r="AK105" s="16"/>
      <c r="AL105" s="16"/>
      <c r="AM105" s="16"/>
      <c r="AN105" s="16"/>
      <c r="AO105" s="16">
        <f t="shared" si="2"/>
        <v>2</v>
      </c>
      <c r="AP105" s="62"/>
      <c r="AQ105" s="45"/>
      <c r="AR105" s="19" t="str">
        <f t="shared" si="3"/>
        <v/>
      </c>
    </row>
    <row r="106" spans="1:44" hidden="1">
      <c r="A106" s="9"/>
      <c r="B106" s="36"/>
      <c r="C106" s="2"/>
      <c r="D106" s="19"/>
      <c r="E106" s="33"/>
      <c r="F106" s="33"/>
      <c r="G106" s="33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R106" s="19"/>
    </row>
    <row r="107" spans="1:44">
      <c r="A107" s="35" t="s">
        <v>132</v>
      </c>
      <c r="B107" s="3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R107" s="19" t="str">
        <f>IF(AQ107="","",AQ107-(AQ107*$AS$9))</f>
        <v/>
      </c>
    </row>
    <row r="108" spans="1:44">
      <c r="AD108" s="63" t="s">
        <v>227</v>
      </c>
    </row>
    <row r="109" spans="1:44" s="3" customFormat="1" ht="18" customHeight="1">
      <c r="B109" s="95" t="s">
        <v>134</v>
      </c>
      <c r="C109" s="95"/>
      <c r="J109" s="6" t="s">
        <v>135</v>
      </c>
      <c r="AE109" s="6" t="s">
        <v>136</v>
      </c>
    </row>
    <row r="110" spans="1:44">
      <c r="AD110" s="3"/>
    </row>
    <row r="114" spans="10:31">
      <c r="J114" s="39" t="s">
        <v>137</v>
      </c>
      <c r="AE114" s="39" t="s">
        <v>138</v>
      </c>
    </row>
  </sheetData>
  <mergeCells count="94">
    <mergeCell ref="AP96:AP97"/>
    <mergeCell ref="AP98:AP99"/>
    <mergeCell ref="C96:C97"/>
    <mergeCell ref="C98:C99"/>
    <mergeCell ref="B98:B99"/>
    <mergeCell ref="B96:B97"/>
    <mergeCell ref="D92:D93"/>
    <mergeCell ref="A92:A93"/>
    <mergeCell ref="A94:A95"/>
    <mergeCell ref="D94:D95"/>
    <mergeCell ref="D96:D100"/>
    <mergeCell ref="A96:A100"/>
    <mergeCell ref="AP82:AP83"/>
    <mergeCell ref="AP85:AP86"/>
    <mergeCell ref="AP87:AP88"/>
    <mergeCell ref="AP89:AP90"/>
    <mergeCell ref="A82:A84"/>
    <mergeCell ref="B82:B83"/>
    <mergeCell ref="C82:C83"/>
    <mergeCell ref="D82:D84"/>
    <mergeCell ref="D85:D91"/>
    <mergeCell ref="A85:A91"/>
    <mergeCell ref="B85:B86"/>
    <mergeCell ref="C85:C86"/>
    <mergeCell ref="B87:B88"/>
    <mergeCell ref="C87:C88"/>
    <mergeCell ref="B89:B90"/>
    <mergeCell ref="C89:C90"/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C8:E8"/>
    <mergeCell ref="B109:C109"/>
    <mergeCell ref="A7:A9"/>
    <mergeCell ref="A10:A11"/>
    <mergeCell ref="A12:A16"/>
    <mergeCell ref="A17:A20"/>
    <mergeCell ref="A21:A24"/>
    <mergeCell ref="A25:A27"/>
    <mergeCell ref="A28:A31"/>
    <mergeCell ref="A32:A36"/>
    <mergeCell ref="A58:A65"/>
    <mergeCell ref="A66:A73"/>
    <mergeCell ref="A74:A81"/>
    <mergeCell ref="B7:B9"/>
    <mergeCell ref="B29:B30"/>
    <mergeCell ref="B32:B33"/>
    <mergeCell ref="A46:A51"/>
    <mergeCell ref="A52:A57"/>
    <mergeCell ref="C40:C41"/>
    <mergeCell ref="C43:C44"/>
    <mergeCell ref="D28:D31"/>
    <mergeCell ref="D32:D36"/>
    <mergeCell ref="D37:D39"/>
    <mergeCell ref="D40:D42"/>
    <mergeCell ref="D43:D45"/>
    <mergeCell ref="C29:C30"/>
    <mergeCell ref="B34:B35"/>
    <mergeCell ref="B40:B41"/>
    <mergeCell ref="B43:B44"/>
    <mergeCell ref="A37:A39"/>
    <mergeCell ref="A40:A42"/>
    <mergeCell ref="A43:A45"/>
    <mergeCell ref="AQ7:AQ9"/>
    <mergeCell ref="AR7:AR9"/>
    <mergeCell ref="B49:B50"/>
    <mergeCell ref="C49:C50"/>
    <mergeCell ref="D49:D51"/>
    <mergeCell ref="D46:D48"/>
    <mergeCell ref="AP49:AP50"/>
    <mergeCell ref="AO7:AO9"/>
    <mergeCell ref="AP7:AP9"/>
    <mergeCell ref="AP29:AP30"/>
    <mergeCell ref="AP32:AP33"/>
    <mergeCell ref="AP34:AP35"/>
    <mergeCell ref="AP40:AP41"/>
    <mergeCell ref="AP43:AP44"/>
    <mergeCell ref="C32:C33"/>
    <mergeCell ref="C34:C35"/>
    <mergeCell ref="AP101:AP102"/>
    <mergeCell ref="AP103:AP104"/>
    <mergeCell ref="A101:A105"/>
    <mergeCell ref="C101:C102"/>
    <mergeCell ref="B101:B102"/>
    <mergeCell ref="B103:B104"/>
    <mergeCell ref="C103:C104"/>
    <mergeCell ref="D101:D105"/>
  </mergeCells>
  <printOptions horizontalCentered="1"/>
  <pageMargins left="0.24" right="0.18" top="0.49" bottom="0.35" header="0.28999999999999998" footer="0.31496062992126"/>
  <pageSetup paperSize="9" scale="79" orientation="landscape" r:id="rId1"/>
  <headerFooter differentFirst="1">
    <oddHeader>&amp;C&amp;P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5"/>
  <sheetViews>
    <sheetView workbookViewId="0">
      <selection activeCell="AD20" sqref="AD20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40" width="2.78515625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170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31</v>
      </c>
      <c r="G8" s="10">
        <v>1</v>
      </c>
      <c r="H8" s="7">
        <v>2</v>
      </c>
      <c r="I8" s="10">
        <v>3</v>
      </c>
      <c r="J8" s="7">
        <v>4</v>
      </c>
      <c r="K8" s="10">
        <v>5</v>
      </c>
      <c r="L8" s="7">
        <v>6</v>
      </c>
      <c r="M8" s="10">
        <v>7</v>
      </c>
      <c r="N8" s="7">
        <v>8</v>
      </c>
      <c r="O8" s="10">
        <v>9</v>
      </c>
      <c r="P8" s="7">
        <v>10</v>
      </c>
      <c r="Q8" s="10">
        <v>11</v>
      </c>
      <c r="R8" s="7">
        <v>12</v>
      </c>
      <c r="S8" s="10">
        <v>13</v>
      </c>
      <c r="T8" s="7">
        <v>14</v>
      </c>
      <c r="U8" s="10">
        <v>15</v>
      </c>
      <c r="V8" s="7">
        <v>16</v>
      </c>
      <c r="W8" s="10">
        <v>17</v>
      </c>
      <c r="X8" s="7">
        <v>18</v>
      </c>
      <c r="Y8" s="10">
        <v>19</v>
      </c>
      <c r="Z8" s="7">
        <v>20</v>
      </c>
      <c r="AA8" s="10">
        <v>21</v>
      </c>
      <c r="AB8" s="7">
        <v>22</v>
      </c>
      <c r="AC8" s="10">
        <v>23</v>
      </c>
      <c r="AD8" s="7">
        <v>24</v>
      </c>
      <c r="AE8" s="10">
        <v>25</v>
      </c>
      <c r="AF8" s="7">
        <v>26</v>
      </c>
      <c r="AG8" s="10">
        <v>27</v>
      </c>
      <c r="AH8" s="7">
        <v>28</v>
      </c>
      <c r="AI8" s="10">
        <v>29</v>
      </c>
      <c r="AJ8" s="7">
        <v>30</v>
      </c>
      <c r="AK8" s="7">
        <v>1</v>
      </c>
      <c r="AL8" s="10">
        <v>2</v>
      </c>
      <c r="AM8" s="7">
        <v>3</v>
      </c>
      <c r="AN8" s="10">
        <v>4</v>
      </c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idden="1">
      <c r="A10" s="84" t="s">
        <v>96</v>
      </c>
      <c r="B10" s="22" t="s">
        <v>32</v>
      </c>
      <c r="C10" s="23" t="s">
        <v>142</v>
      </c>
      <c r="D10" s="84" t="s">
        <v>40</v>
      </c>
      <c r="E10" s="29" t="s">
        <v>23</v>
      </c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 t="shared" ref="AO10:AO12" si="0">SUM(F10:AN10)</f>
        <v>0</v>
      </c>
      <c r="AP10" s="51" t="s">
        <v>97</v>
      </c>
      <c r="AQ10" s="42">
        <v>90</v>
      </c>
      <c r="AR10" s="19">
        <f t="shared" ref="AR10:AR12" si="1">IF(AQ10="","",AQ10-(AQ10*$AS$9))</f>
        <v>72</v>
      </c>
    </row>
    <row r="11" spans="1:45" ht="28.5" customHeight="1">
      <c r="A11" s="82"/>
      <c r="B11" s="26" t="s">
        <v>123</v>
      </c>
      <c r="C11" s="27" t="s">
        <v>152</v>
      </c>
      <c r="D11" s="82"/>
      <c r="E11" s="15" t="s">
        <v>23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/>
      <c r="R11" s="17"/>
      <c r="S11" s="17"/>
      <c r="T11" s="16"/>
      <c r="U11" s="16">
        <v>4</v>
      </c>
      <c r="V11" s="16">
        <v>4</v>
      </c>
      <c r="W11" s="16"/>
      <c r="X11" s="16"/>
      <c r="Y11" s="17"/>
      <c r="Z11" s="17"/>
      <c r="AA11" s="16"/>
      <c r="AB11" s="16">
        <v>4</v>
      </c>
      <c r="AC11" s="16">
        <v>4</v>
      </c>
      <c r="AD11" s="16"/>
      <c r="AE11" s="16"/>
      <c r="AF11" s="17"/>
      <c r="AG11" s="17"/>
      <c r="AH11" s="16"/>
      <c r="AI11" s="16">
        <v>4</v>
      </c>
      <c r="AJ11" s="16">
        <v>4</v>
      </c>
      <c r="AK11" s="16"/>
      <c r="AL11" s="16"/>
      <c r="AM11" s="17"/>
      <c r="AN11" s="17"/>
      <c r="AO11" s="16">
        <f t="shared" si="0"/>
        <v>24</v>
      </c>
      <c r="AP11" s="51" t="s">
        <v>159</v>
      </c>
      <c r="AQ11">
        <v>90</v>
      </c>
      <c r="AR11" s="19">
        <f t="shared" si="1"/>
        <v>72</v>
      </c>
    </row>
    <row r="12" spans="1:45">
      <c r="A12" s="83"/>
      <c r="B12" s="22" t="s">
        <v>24</v>
      </c>
      <c r="C12" s="23" t="s">
        <v>28</v>
      </c>
      <c r="D12" s="83"/>
      <c r="E12" s="24" t="s">
        <v>30</v>
      </c>
      <c r="F12" s="25"/>
      <c r="G12" s="25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>
        <v>1</v>
      </c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7"/>
      <c r="AG12" s="17"/>
      <c r="AH12" s="16"/>
      <c r="AI12" s="16">
        <v>1</v>
      </c>
      <c r="AJ12" s="16"/>
      <c r="AK12" s="16"/>
      <c r="AL12" s="16"/>
      <c r="AM12" s="17"/>
      <c r="AN12" s="17"/>
      <c r="AO12" s="16">
        <f t="shared" si="0"/>
        <v>2</v>
      </c>
      <c r="AP12" s="16"/>
      <c r="AR12" s="19" t="str">
        <f t="shared" si="1"/>
        <v/>
      </c>
    </row>
    <row r="13" spans="1:45">
      <c r="A13" s="9"/>
      <c r="B13" s="31"/>
      <c r="C13" s="32"/>
      <c r="D13" s="9"/>
      <c r="E13" s="33"/>
      <c r="F13" s="34"/>
      <c r="G13" s="34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40"/>
      <c r="AN13" s="40"/>
      <c r="AO13" s="19"/>
      <c r="AP13" s="19"/>
      <c r="AR13" s="19" t="str">
        <f t="shared" ref="AR13:AR15" si="2">IF(AQ13="","",AQ13-(AQ13*$AS$9))</f>
        <v/>
      </c>
    </row>
    <row r="14" spans="1:45" hidden="1">
      <c r="A14" s="9"/>
      <c r="B14" s="31"/>
      <c r="C14" s="32"/>
      <c r="D14" s="9"/>
      <c r="E14" s="33"/>
      <c r="F14" s="34"/>
      <c r="G14" s="3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40"/>
      <c r="AN14" s="40"/>
      <c r="AO14" s="19"/>
      <c r="AP14" s="19"/>
      <c r="AR14" s="19" t="str">
        <f t="shared" si="2"/>
        <v/>
      </c>
    </row>
    <row r="15" spans="1:45" hidden="1">
      <c r="A15" s="9"/>
      <c r="B15" s="31"/>
      <c r="C15" s="32"/>
      <c r="D15" s="9"/>
      <c r="E15" s="33"/>
      <c r="F15" s="34"/>
      <c r="G15" s="34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40"/>
      <c r="AN15" s="40"/>
      <c r="AO15" s="19"/>
      <c r="AP15" s="19"/>
      <c r="AR15" s="19" t="str">
        <f t="shared" si="2"/>
        <v/>
      </c>
    </row>
    <row r="16" spans="1:45" hidden="1">
      <c r="A16" s="35"/>
      <c r="B16" s="2"/>
      <c r="C16" s="2"/>
      <c r="D16" s="19"/>
      <c r="E16" s="33"/>
      <c r="F16" s="33"/>
      <c r="G16" s="33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R16" s="19"/>
    </row>
    <row r="17" spans="1:44" hidden="1">
      <c r="A17" s="9"/>
      <c r="B17" s="36"/>
      <c r="C17" s="2"/>
      <c r="D17" s="19"/>
      <c r="E17" s="33"/>
      <c r="F17" s="33"/>
      <c r="G17" s="33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R17" s="19"/>
    </row>
    <row r="18" spans="1:44" hidden="1">
      <c r="A18" s="2"/>
      <c r="B18" s="3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R18" s="19" t="str">
        <f t="shared" ref="AR18" si="3">IF(AQ18="","",AQ18-(AQ18*$AS$9))</f>
        <v/>
      </c>
    </row>
    <row r="19" spans="1:44">
      <c r="AD19" s="38" t="s">
        <v>169</v>
      </c>
    </row>
    <row r="20" spans="1:44" s="3" customFormat="1" ht="18" customHeight="1">
      <c r="B20" s="95" t="s">
        <v>134</v>
      </c>
      <c r="C20" s="95"/>
      <c r="J20" s="6" t="s">
        <v>135</v>
      </c>
      <c r="AE20" s="6" t="s">
        <v>136</v>
      </c>
    </row>
    <row r="21" spans="1:44">
      <c r="AD21" s="3"/>
    </row>
    <row r="25" spans="1:44">
      <c r="J25" s="39" t="s">
        <v>137</v>
      </c>
      <c r="AE25" s="39" t="s">
        <v>138</v>
      </c>
    </row>
  </sheetData>
  <mergeCells count="20"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AO7:AO9"/>
    <mergeCell ref="AP7:AP9"/>
    <mergeCell ref="AQ7:AQ9"/>
    <mergeCell ref="AR7:AR9"/>
    <mergeCell ref="C8:E8"/>
    <mergeCell ref="B20:C20"/>
    <mergeCell ref="A7:A9"/>
    <mergeCell ref="A10:A12"/>
    <mergeCell ref="B7:B9"/>
    <mergeCell ref="D10:D12"/>
  </mergeCells>
  <printOptions horizontalCentered="1"/>
  <pageMargins left="0.24" right="0.18" top="0.49" bottom="0.35" header="0.28999999999999998" footer="0.31496062992126"/>
  <pageSetup paperSize="9" scale="69" orientation="landscape"/>
  <headerFooter differentFirst="1">
    <oddHeader>&amp;C&amp;P</oddHead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DDEB-783D-44CA-9926-959B23009434}">
  <dimension ref="A1:AS27"/>
  <sheetViews>
    <sheetView workbookViewId="0">
      <selection activeCell="U25" sqref="U25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170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186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5</v>
      </c>
      <c r="G8" s="10">
        <v>6</v>
      </c>
      <c r="H8" s="7">
        <v>7</v>
      </c>
      <c r="I8" s="10">
        <v>8</v>
      </c>
      <c r="J8" s="7">
        <v>9</v>
      </c>
      <c r="K8" s="10">
        <v>10</v>
      </c>
      <c r="L8" s="7">
        <v>11</v>
      </c>
      <c r="M8" s="10">
        <v>12</v>
      </c>
      <c r="N8" s="7">
        <v>13</v>
      </c>
      <c r="O8" s="10">
        <v>14</v>
      </c>
      <c r="P8" s="7">
        <v>15</v>
      </c>
      <c r="Q8" s="10">
        <v>16</v>
      </c>
      <c r="R8" s="7">
        <v>17</v>
      </c>
      <c r="S8" s="10">
        <v>18</v>
      </c>
      <c r="T8" s="7">
        <v>19</v>
      </c>
      <c r="U8" s="10">
        <v>20</v>
      </c>
      <c r="V8" s="7">
        <v>21</v>
      </c>
      <c r="W8" s="10">
        <v>22</v>
      </c>
      <c r="X8" s="7">
        <v>23</v>
      </c>
      <c r="Y8" s="10">
        <v>24</v>
      </c>
      <c r="Z8" s="7">
        <v>25</v>
      </c>
      <c r="AA8" s="10">
        <v>26</v>
      </c>
      <c r="AB8" s="7">
        <v>27</v>
      </c>
      <c r="AC8" s="10">
        <v>28</v>
      </c>
      <c r="AD8" s="7">
        <v>29</v>
      </c>
      <c r="AE8" s="10">
        <v>30</v>
      </c>
      <c r="AF8" s="7">
        <v>31</v>
      </c>
      <c r="AG8" s="10">
        <v>1</v>
      </c>
      <c r="AH8" s="7"/>
      <c r="AI8" s="10"/>
      <c r="AJ8" s="7"/>
      <c r="AK8" s="10"/>
      <c r="AL8" s="7"/>
      <c r="AM8" s="10"/>
      <c r="AN8" s="7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idden="1">
      <c r="A10" s="84" t="s">
        <v>96</v>
      </c>
      <c r="B10" s="22" t="s">
        <v>32</v>
      </c>
      <c r="C10" s="23" t="s">
        <v>142</v>
      </c>
      <c r="D10" s="84" t="s">
        <v>40</v>
      </c>
      <c r="E10" s="29" t="s">
        <v>23</v>
      </c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 t="shared" ref="AO10:AO12" si="0">SUM(F10:AN10)</f>
        <v>0</v>
      </c>
      <c r="AP10" s="51" t="s">
        <v>97</v>
      </c>
      <c r="AQ10" s="45">
        <v>90</v>
      </c>
      <c r="AR10" s="19">
        <f t="shared" ref="AR10:AR12" si="1">IF(AQ10="","",AQ10-(AQ10*$AS$9))</f>
        <v>72</v>
      </c>
    </row>
    <row r="11" spans="1:45" ht="28.5" customHeight="1">
      <c r="A11" s="82"/>
      <c r="B11" s="26" t="s">
        <v>123</v>
      </c>
      <c r="C11" s="27" t="s">
        <v>152</v>
      </c>
      <c r="D11" s="82"/>
      <c r="E11" s="15" t="s">
        <v>23</v>
      </c>
      <c r="F11" s="15"/>
      <c r="G11" s="15">
        <v>4</v>
      </c>
      <c r="H11" s="16">
        <v>4</v>
      </c>
      <c r="I11" s="16"/>
      <c r="J11" s="16"/>
      <c r="K11" s="17"/>
      <c r="L11" s="17"/>
      <c r="M11" s="16"/>
      <c r="N11" s="16">
        <v>4</v>
      </c>
      <c r="O11" s="16">
        <v>4</v>
      </c>
      <c r="P11" s="16"/>
      <c r="Q11" s="16"/>
      <c r="R11" s="17"/>
      <c r="S11" s="17"/>
      <c r="T11" s="16"/>
      <c r="U11" s="16">
        <v>4</v>
      </c>
      <c r="V11" s="16">
        <v>4</v>
      </c>
      <c r="W11" s="16"/>
      <c r="X11" s="16"/>
      <c r="Y11" s="17"/>
      <c r="Z11" s="17"/>
      <c r="AA11" s="16"/>
      <c r="AB11" s="16">
        <v>4</v>
      </c>
      <c r="AC11" s="16">
        <v>4</v>
      </c>
      <c r="AD11" s="16"/>
      <c r="AE11" s="16"/>
      <c r="AF11" s="17"/>
      <c r="AG11" s="17"/>
      <c r="AH11" s="16"/>
      <c r="AI11" s="16"/>
      <c r="AJ11" s="16"/>
      <c r="AK11" s="16"/>
      <c r="AL11" s="16"/>
      <c r="AM11" s="17"/>
      <c r="AN11" s="17"/>
      <c r="AO11" s="16">
        <f t="shared" si="0"/>
        <v>32</v>
      </c>
      <c r="AP11" s="56" t="s">
        <v>150</v>
      </c>
      <c r="AQ11" s="45">
        <v>90</v>
      </c>
      <c r="AR11" s="19">
        <f t="shared" si="1"/>
        <v>72</v>
      </c>
    </row>
    <row r="12" spans="1:45">
      <c r="A12" s="83"/>
      <c r="B12" s="22" t="s">
        <v>24</v>
      </c>
      <c r="C12" s="23" t="s">
        <v>28</v>
      </c>
      <c r="D12" s="83"/>
      <c r="E12" s="24" t="s">
        <v>30</v>
      </c>
      <c r="F12" s="25"/>
      <c r="G12" s="25">
        <v>1</v>
      </c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>
        <v>1</v>
      </c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0"/>
        <v>2</v>
      </c>
      <c r="AP12" s="16"/>
      <c r="AQ12" s="45"/>
      <c r="AR12" s="19" t="str">
        <f t="shared" si="1"/>
        <v/>
      </c>
    </row>
    <row r="13" spans="1:45" hidden="1">
      <c r="B13" s="2"/>
      <c r="C13" s="2"/>
      <c r="D13" s="19"/>
      <c r="E13" s="61"/>
      <c r="F13" s="33"/>
      <c r="G13" s="33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Q13" s="45"/>
      <c r="AR13" s="19"/>
    </row>
    <row r="14" spans="1:45" hidden="1">
      <c r="B14" s="2"/>
      <c r="C14" s="2"/>
      <c r="D14" s="19"/>
      <c r="E14" s="61"/>
      <c r="F14" s="33"/>
      <c r="G14" s="33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Q14" s="45"/>
      <c r="AR14" s="19"/>
    </row>
    <row r="15" spans="1:45" hidden="1">
      <c r="B15" s="2"/>
      <c r="C15" s="2"/>
      <c r="D15" s="19"/>
      <c r="E15" s="61"/>
      <c r="F15" s="33"/>
      <c r="G15" s="33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Q15" s="45"/>
      <c r="AR15" s="19"/>
    </row>
    <row r="16" spans="1:45" hidden="1">
      <c r="B16" s="2"/>
      <c r="C16" s="2"/>
      <c r="D16" s="19"/>
      <c r="E16" s="61"/>
      <c r="F16" s="33"/>
      <c r="G16" s="33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Q16" s="45"/>
      <c r="AR16" s="19"/>
    </row>
    <row r="17" spans="1:44" hidden="1">
      <c r="B17" s="2"/>
      <c r="C17" s="2"/>
      <c r="D17" s="19"/>
      <c r="E17" s="61"/>
      <c r="F17" s="33"/>
      <c r="G17" s="33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Q17" s="45"/>
      <c r="AR17" s="19"/>
    </row>
    <row r="18" spans="1:44" hidden="1">
      <c r="B18" s="2"/>
      <c r="C18" s="2"/>
      <c r="D18" s="19"/>
      <c r="E18" s="61"/>
      <c r="F18" s="33"/>
      <c r="G18" s="3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Q18" s="45"/>
      <c r="AR18" s="19"/>
    </row>
    <row r="19" spans="1:44" hidden="1">
      <c r="A19" s="9"/>
      <c r="B19" s="36"/>
      <c r="C19" s="2"/>
      <c r="D19" s="19"/>
      <c r="E19" s="33"/>
      <c r="F19" s="33"/>
      <c r="G19" s="3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R19" s="19"/>
    </row>
    <row r="20" spans="1:44">
      <c r="A20" s="35"/>
      <c r="B20" s="3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R20" s="19" t="str">
        <f>IF(AQ20="","",AQ20-(AQ20*$AS$9))</f>
        <v/>
      </c>
    </row>
    <row r="21" spans="1:44">
      <c r="AD21" s="63" t="s">
        <v>208</v>
      </c>
    </row>
    <row r="22" spans="1:44" s="3" customFormat="1" ht="18" customHeight="1">
      <c r="B22" s="95" t="s">
        <v>134</v>
      </c>
      <c r="C22" s="95"/>
      <c r="J22" s="6" t="s">
        <v>135</v>
      </c>
      <c r="AE22" s="6" t="s">
        <v>136</v>
      </c>
    </row>
    <row r="23" spans="1:44">
      <c r="AD23" s="3"/>
    </row>
    <row r="27" spans="1:44">
      <c r="J27" s="39" t="s">
        <v>137</v>
      </c>
      <c r="AE27" s="39" t="s">
        <v>138</v>
      </c>
    </row>
  </sheetData>
  <mergeCells count="20">
    <mergeCell ref="A1:D1"/>
    <mergeCell ref="A2:D2"/>
    <mergeCell ref="A4:AP4"/>
    <mergeCell ref="A5:AP5"/>
    <mergeCell ref="A7:A9"/>
    <mergeCell ref="B7:B9"/>
    <mergeCell ref="C7:E7"/>
    <mergeCell ref="F7:L7"/>
    <mergeCell ref="M7:S7"/>
    <mergeCell ref="T7:Z7"/>
    <mergeCell ref="AH7:AN7"/>
    <mergeCell ref="AO7:AO9"/>
    <mergeCell ref="AP7:AP9"/>
    <mergeCell ref="AQ7:AQ9"/>
    <mergeCell ref="AR7:AR9"/>
    <mergeCell ref="B22:C22"/>
    <mergeCell ref="A10:A12"/>
    <mergeCell ref="D10:D12"/>
    <mergeCell ref="C8:E8"/>
    <mergeCell ref="AA7:AG7"/>
  </mergeCells>
  <printOptions horizontalCentered="1"/>
  <pageMargins left="0.24" right="0.18" top="0.49" bottom="0.35" header="0.28999999999999998" footer="0.31496062992126"/>
  <pageSetup paperSize="9" scale="79" orientation="landscape" r:id="rId1"/>
  <headerFooter differentFirst="1">
    <oddHeader>&amp;C&amp;P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34"/>
  <sheetViews>
    <sheetView topLeftCell="A7" workbookViewId="0">
      <selection activeCell="AC30" sqref="AC30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40" width="2.78515625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171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31</v>
      </c>
      <c r="G8" s="10">
        <v>1</v>
      </c>
      <c r="H8" s="7">
        <v>2</v>
      </c>
      <c r="I8" s="10">
        <v>3</v>
      </c>
      <c r="J8" s="7">
        <v>4</v>
      </c>
      <c r="K8" s="10">
        <v>5</v>
      </c>
      <c r="L8" s="7">
        <v>6</v>
      </c>
      <c r="M8" s="10">
        <v>7</v>
      </c>
      <c r="N8" s="7">
        <v>8</v>
      </c>
      <c r="O8" s="10">
        <v>9</v>
      </c>
      <c r="P8" s="7">
        <v>10</v>
      </c>
      <c r="Q8" s="10">
        <v>11</v>
      </c>
      <c r="R8" s="7">
        <v>12</v>
      </c>
      <c r="S8" s="10">
        <v>13</v>
      </c>
      <c r="T8" s="7">
        <v>14</v>
      </c>
      <c r="U8" s="10">
        <v>15</v>
      </c>
      <c r="V8" s="7">
        <v>16</v>
      </c>
      <c r="W8" s="10">
        <v>17</v>
      </c>
      <c r="X8" s="7">
        <v>18</v>
      </c>
      <c r="Y8" s="10">
        <v>19</v>
      </c>
      <c r="Z8" s="7">
        <v>20</v>
      </c>
      <c r="AA8" s="10">
        <v>21</v>
      </c>
      <c r="AB8" s="7">
        <v>22</v>
      </c>
      <c r="AC8" s="10">
        <v>23</v>
      </c>
      <c r="AD8" s="7">
        <v>24</v>
      </c>
      <c r="AE8" s="10">
        <v>25</v>
      </c>
      <c r="AF8" s="7">
        <v>26</v>
      </c>
      <c r="AG8" s="10">
        <v>27</v>
      </c>
      <c r="AH8" s="7">
        <v>28</v>
      </c>
      <c r="AI8" s="10">
        <v>29</v>
      </c>
      <c r="AJ8" s="7">
        <v>30</v>
      </c>
      <c r="AK8" s="7">
        <v>1</v>
      </c>
      <c r="AL8" s="10">
        <v>2</v>
      </c>
      <c r="AM8" s="7">
        <v>3</v>
      </c>
      <c r="AN8" s="10">
        <v>4</v>
      </c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idden="1">
      <c r="A10" s="84" t="s">
        <v>88</v>
      </c>
      <c r="B10" s="41"/>
      <c r="C10" s="23"/>
      <c r="D10" s="84" t="s">
        <v>44</v>
      </c>
      <c r="E10" s="15"/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 t="shared" ref="AO10:AO18" si="0">SUM(F10:AN10)</f>
        <v>0</v>
      </c>
      <c r="AP10" s="51" t="s">
        <v>66</v>
      </c>
      <c r="AQ10" s="39">
        <v>30</v>
      </c>
      <c r="AR10" s="19">
        <f t="shared" ref="AR10:AR24" si="1">IF(AQ10="","",AQ10-(AQ10*$AS$9))</f>
        <v>24</v>
      </c>
    </row>
    <row r="11" spans="1:45" ht="21.75" customHeight="1">
      <c r="A11" s="82"/>
      <c r="B11" s="77" t="s">
        <v>20</v>
      </c>
      <c r="C11" s="90" t="s">
        <v>152</v>
      </c>
      <c r="D11" s="82"/>
      <c r="E11" s="15" t="s">
        <v>45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/>
      <c r="R11" s="17"/>
      <c r="S11" s="17"/>
      <c r="T11" s="16"/>
      <c r="U11" s="16"/>
      <c r="V11" s="16"/>
      <c r="W11" s="16"/>
      <c r="X11" s="16"/>
      <c r="Y11" s="17">
        <v>4</v>
      </c>
      <c r="Z11" s="17"/>
      <c r="AA11" s="16"/>
      <c r="AB11" s="16"/>
      <c r="AC11" s="16"/>
      <c r="AD11" s="16"/>
      <c r="AE11" s="16"/>
      <c r="AF11" s="17">
        <v>4</v>
      </c>
      <c r="AG11" s="17"/>
      <c r="AH11" s="16"/>
      <c r="AI11" s="16"/>
      <c r="AJ11" s="16"/>
      <c r="AK11" s="16"/>
      <c r="AL11" s="16"/>
      <c r="AM11" s="17">
        <v>4</v>
      </c>
      <c r="AN11" s="17"/>
      <c r="AO11" s="16">
        <f t="shared" si="0"/>
        <v>12</v>
      </c>
      <c r="AP11" s="105" t="s">
        <v>159</v>
      </c>
      <c r="AQ11">
        <v>90</v>
      </c>
      <c r="AR11" s="19">
        <f t="shared" si="1"/>
        <v>72</v>
      </c>
    </row>
    <row r="12" spans="1:45" ht="21" customHeight="1">
      <c r="A12" s="82"/>
      <c r="B12" s="78"/>
      <c r="C12" s="80"/>
      <c r="D12" s="82"/>
      <c r="E12" s="15" t="s">
        <v>23</v>
      </c>
      <c r="F12" s="15"/>
      <c r="G12" s="15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>
        <v>4</v>
      </c>
      <c r="Z12" s="17"/>
      <c r="AA12" s="16"/>
      <c r="AB12" s="16"/>
      <c r="AC12" s="16"/>
      <c r="AD12" s="16"/>
      <c r="AE12" s="16"/>
      <c r="AF12" s="17">
        <v>4</v>
      </c>
      <c r="AG12" s="17"/>
      <c r="AH12" s="16"/>
      <c r="AI12" s="16"/>
      <c r="AJ12" s="16"/>
      <c r="AK12" s="16"/>
      <c r="AL12" s="16"/>
      <c r="AM12" s="17">
        <v>4</v>
      </c>
      <c r="AN12" s="17"/>
      <c r="AO12" s="16">
        <f t="shared" si="0"/>
        <v>12</v>
      </c>
      <c r="AP12" s="88"/>
      <c r="AR12" s="19" t="str">
        <f t="shared" si="1"/>
        <v/>
      </c>
    </row>
    <row r="13" spans="1:45">
      <c r="A13" s="83"/>
      <c r="B13" s="22" t="s">
        <v>50</v>
      </c>
      <c r="C13" s="23" t="s">
        <v>28</v>
      </c>
      <c r="D13" s="83"/>
      <c r="E13" s="24" t="s">
        <v>30</v>
      </c>
      <c r="F13" s="25"/>
      <c r="G13" s="25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>
        <v>1</v>
      </c>
      <c r="Z13" s="17"/>
      <c r="AA13" s="16"/>
      <c r="AB13" s="16"/>
      <c r="AC13" s="16"/>
      <c r="AD13" s="16"/>
      <c r="AE13" s="16"/>
      <c r="AF13" s="17"/>
      <c r="AG13" s="17"/>
      <c r="AH13" s="16"/>
      <c r="AI13" s="16"/>
      <c r="AJ13" s="16"/>
      <c r="AK13" s="16"/>
      <c r="AL13" s="16"/>
      <c r="AM13" s="17">
        <v>1</v>
      </c>
      <c r="AN13" s="17"/>
      <c r="AO13" s="16">
        <f t="shared" si="0"/>
        <v>2</v>
      </c>
      <c r="AP13" s="16"/>
      <c r="AR13" s="19" t="str">
        <f t="shared" si="1"/>
        <v/>
      </c>
    </row>
    <row r="14" spans="1:45">
      <c r="A14" s="84" t="s">
        <v>91</v>
      </c>
      <c r="B14" s="77" t="s">
        <v>36</v>
      </c>
      <c r="C14" s="90" t="s">
        <v>160</v>
      </c>
      <c r="D14" s="84" t="s">
        <v>44</v>
      </c>
      <c r="E14" s="15" t="s">
        <v>45</v>
      </c>
      <c r="F14" s="15"/>
      <c r="G14" s="15"/>
      <c r="H14" s="16"/>
      <c r="I14" s="16"/>
      <c r="J14" s="16"/>
      <c r="K14" s="17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>
        <v>4</v>
      </c>
      <c r="Z14" s="17"/>
      <c r="AA14" s="16"/>
      <c r="AB14" s="16"/>
      <c r="AC14" s="16"/>
      <c r="AD14" s="16"/>
      <c r="AE14" s="16"/>
      <c r="AF14" s="17">
        <v>4</v>
      </c>
      <c r="AG14" s="17"/>
      <c r="AH14" s="16"/>
      <c r="AI14" s="16"/>
      <c r="AJ14" s="16"/>
      <c r="AK14" s="16"/>
      <c r="AL14" s="16"/>
      <c r="AM14" s="17">
        <v>4</v>
      </c>
      <c r="AN14" s="17"/>
      <c r="AO14" s="16">
        <f t="shared" si="0"/>
        <v>12</v>
      </c>
      <c r="AP14" s="106" t="s">
        <v>161</v>
      </c>
      <c r="AQ14">
        <v>60</v>
      </c>
      <c r="AR14" s="19">
        <f t="shared" si="1"/>
        <v>48</v>
      </c>
    </row>
    <row r="15" spans="1:45">
      <c r="A15" s="82"/>
      <c r="B15" s="78"/>
      <c r="C15" s="80"/>
      <c r="D15" s="82"/>
      <c r="E15" s="15" t="s">
        <v>23</v>
      </c>
      <c r="F15" s="15"/>
      <c r="G15" s="15"/>
      <c r="H15" s="16"/>
      <c r="I15" s="16"/>
      <c r="J15" s="16"/>
      <c r="K15" s="17"/>
      <c r="L15" s="17"/>
      <c r="M15" s="16"/>
      <c r="N15" s="16"/>
      <c r="O15" s="16"/>
      <c r="P15" s="16"/>
      <c r="Q15" s="16"/>
      <c r="R15" s="17"/>
      <c r="S15" s="17"/>
      <c r="T15" s="16"/>
      <c r="U15" s="16"/>
      <c r="V15" s="16"/>
      <c r="W15" s="16"/>
      <c r="X15" s="16"/>
      <c r="Y15" s="17">
        <v>4</v>
      </c>
      <c r="Z15" s="17"/>
      <c r="AA15" s="16"/>
      <c r="AB15" s="16"/>
      <c r="AC15" s="16"/>
      <c r="AD15" s="16"/>
      <c r="AE15" s="16"/>
      <c r="AF15" s="17">
        <v>4</v>
      </c>
      <c r="AG15" s="17"/>
      <c r="AH15" s="16"/>
      <c r="AI15" s="16"/>
      <c r="AJ15" s="16"/>
      <c r="AK15" s="16"/>
      <c r="AL15" s="16"/>
      <c r="AM15" s="17">
        <v>4</v>
      </c>
      <c r="AN15" s="17"/>
      <c r="AO15" s="16">
        <f t="shared" si="0"/>
        <v>12</v>
      </c>
      <c r="AP15" s="89"/>
      <c r="AR15" s="19" t="str">
        <f t="shared" si="1"/>
        <v/>
      </c>
    </row>
    <row r="16" spans="1:45" hidden="1">
      <c r="A16" s="82"/>
      <c r="B16" s="77" t="s">
        <v>36</v>
      </c>
      <c r="C16" s="90"/>
      <c r="D16" s="82"/>
      <c r="E16" s="15" t="s">
        <v>45</v>
      </c>
      <c r="F16" s="15"/>
      <c r="G16" s="15"/>
      <c r="H16" s="16"/>
      <c r="I16" s="16"/>
      <c r="J16" s="16"/>
      <c r="K16" s="17"/>
      <c r="L16" s="17"/>
      <c r="M16" s="16"/>
      <c r="N16" s="16"/>
      <c r="O16" s="16"/>
      <c r="P16" s="16"/>
      <c r="Q16" s="16"/>
      <c r="R16" s="17"/>
      <c r="S16" s="17"/>
      <c r="T16" s="16"/>
      <c r="U16" s="16"/>
      <c r="V16" s="16"/>
      <c r="W16" s="16"/>
      <c r="X16" s="16"/>
      <c r="Y16" s="17"/>
      <c r="Z16" s="17"/>
      <c r="AA16" s="16"/>
      <c r="AB16" s="16"/>
      <c r="AC16" s="16"/>
      <c r="AD16" s="16"/>
      <c r="AE16" s="16"/>
      <c r="AF16" s="17"/>
      <c r="AG16" s="17"/>
      <c r="AH16" s="16"/>
      <c r="AI16" s="16"/>
      <c r="AJ16" s="16"/>
      <c r="AK16" s="16"/>
      <c r="AL16" s="16"/>
      <c r="AM16" s="17"/>
      <c r="AN16" s="17"/>
      <c r="AO16" s="16">
        <f t="shared" si="0"/>
        <v>0</v>
      </c>
      <c r="AP16" s="105" t="s">
        <v>95</v>
      </c>
      <c r="AQ16">
        <v>60</v>
      </c>
      <c r="AR16" s="19">
        <f t="shared" si="1"/>
        <v>48</v>
      </c>
    </row>
    <row r="17" spans="1:44" hidden="1">
      <c r="A17" s="82"/>
      <c r="B17" s="78"/>
      <c r="C17" s="80"/>
      <c r="D17" s="82"/>
      <c r="E17" s="15" t="s">
        <v>23</v>
      </c>
      <c r="F17" s="15"/>
      <c r="G17" s="15"/>
      <c r="H17" s="16"/>
      <c r="I17" s="16"/>
      <c r="J17" s="16"/>
      <c r="K17" s="17"/>
      <c r="L17" s="17"/>
      <c r="M17" s="16"/>
      <c r="N17" s="16"/>
      <c r="O17" s="16"/>
      <c r="P17" s="16"/>
      <c r="Q17" s="16"/>
      <c r="R17" s="17"/>
      <c r="S17" s="17"/>
      <c r="T17" s="16"/>
      <c r="U17" s="16"/>
      <c r="V17" s="16"/>
      <c r="W17" s="16"/>
      <c r="X17" s="16"/>
      <c r="Y17" s="17"/>
      <c r="Z17" s="17"/>
      <c r="AA17" s="16"/>
      <c r="AB17" s="16"/>
      <c r="AC17" s="16"/>
      <c r="AD17" s="16"/>
      <c r="AE17" s="16"/>
      <c r="AF17" s="17"/>
      <c r="AG17" s="17"/>
      <c r="AH17" s="16"/>
      <c r="AI17" s="16"/>
      <c r="AJ17" s="16"/>
      <c r="AK17" s="16"/>
      <c r="AL17" s="16"/>
      <c r="AM17" s="17"/>
      <c r="AN17" s="17"/>
      <c r="AO17" s="16">
        <f t="shared" si="0"/>
        <v>0</v>
      </c>
      <c r="AP17" s="88"/>
      <c r="AR17" s="19" t="str">
        <f t="shared" si="1"/>
        <v/>
      </c>
    </row>
    <row r="18" spans="1:44">
      <c r="A18" s="83"/>
      <c r="B18" s="22" t="s">
        <v>36</v>
      </c>
      <c r="C18" s="23" t="s">
        <v>28</v>
      </c>
      <c r="D18" s="83"/>
      <c r="E18" s="24" t="s">
        <v>30</v>
      </c>
      <c r="F18" s="25"/>
      <c r="G18" s="25"/>
      <c r="H18" s="16"/>
      <c r="I18" s="16"/>
      <c r="J18" s="16"/>
      <c r="K18" s="17"/>
      <c r="L18" s="17"/>
      <c r="M18" s="16"/>
      <c r="N18" s="16"/>
      <c r="O18" s="16"/>
      <c r="P18" s="16"/>
      <c r="Q18" s="16"/>
      <c r="R18" s="17"/>
      <c r="S18" s="17"/>
      <c r="T18" s="16"/>
      <c r="U18" s="16"/>
      <c r="V18" s="16"/>
      <c r="W18" s="16"/>
      <c r="X18" s="16"/>
      <c r="Y18" s="17">
        <v>1</v>
      </c>
      <c r="Z18" s="17"/>
      <c r="AA18" s="16"/>
      <c r="AB18" s="16"/>
      <c r="AC18" s="16"/>
      <c r="AD18" s="16"/>
      <c r="AE18" s="16"/>
      <c r="AF18" s="17"/>
      <c r="AG18" s="17"/>
      <c r="AH18" s="16"/>
      <c r="AI18" s="16"/>
      <c r="AJ18" s="16"/>
      <c r="AK18" s="16"/>
      <c r="AL18" s="16"/>
      <c r="AM18" s="17">
        <v>1</v>
      </c>
      <c r="AN18" s="17"/>
      <c r="AO18" s="16">
        <f t="shared" si="0"/>
        <v>2</v>
      </c>
      <c r="AP18" s="16"/>
      <c r="AR18" s="19" t="str">
        <f t="shared" si="1"/>
        <v/>
      </c>
    </row>
    <row r="19" spans="1:44" ht="36.75" customHeight="1">
      <c r="A19" s="113" t="s">
        <v>172</v>
      </c>
      <c r="B19" s="115" t="s">
        <v>173</v>
      </c>
      <c r="C19" s="116" t="s">
        <v>174</v>
      </c>
      <c r="D19" s="111" t="s">
        <v>175</v>
      </c>
      <c r="E19" s="15" t="s">
        <v>45</v>
      </c>
      <c r="F19" s="15"/>
      <c r="G19" s="15"/>
      <c r="H19" s="15"/>
      <c r="I19" s="15"/>
      <c r="J19" s="15"/>
      <c r="K19" s="30"/>
      <c r="L19" s="30"/>
      <c r="M19" s="15"/>
      <c r="N19" s="15"/>
      <c r="O19" s="15"/>
      <c r="P19" s="15"/>
      <c r="Q19" s="15"/>
      <c r="R19" s="30"/>
      <c r="S19" s="30"/>
      <c r="T19" s="15"/>
      <c r="U19" s="15"/>
      <c r="V19" s="15"/>
      <c r="W19" s="15"/>
      <c r="X19" s="15"/>
      <c r="Y19" s="30">
        <v>5</v>
      </c>
      <c r="Z19" s="30"/>
      <c r="AA19" s="15"/>
      <c r="AB19" s="15"/>
      <c r="AC19" s="15"/>
      <c r="AD19" s="15"/>
      <c r="AE19" s="15"/>
      <c r="AF19" s="30">
        <v>5</v>
      </c>
      <c r="AG19" s="30"/>
      <c r="AH19" s="15"/>
      <c r="AI19" s="15"/>
      <c r="AJ19" s="15"/>
      <c r="AK19" s="15"/>
      <c r="AL19" s="15"/>
      <c r="AM19" s="30">
        <v>5</v>
      </c>
      <c r="AN19" s="30"/>
      <c r="AO19" s="112">
        <f>SUM(R19:AN20)</f>
        <v>27</v>
      </c>
      <c r="AP19" s="106" t="s">
        <v>176</v>
      </c>
      <c r="AQ19">
        <v>90</v>
      </c>
      <c r="AR19" s="19">
        <f t="shared" si="1"/>
        <v>72</v>
      </c>
    </row>
    <row r="20" spans="1:44" ht="33.75" customHeight="1">
      <c r="A20" s="114"/>
      <c r="B20" s="115"/>
      <c r="C20" s="116"/>
      <c r="D20" s="111"/>
      <c r="E20" s="15" t="s">
        <v>177</v>
      </c>
      <c r="F20" s="15"/>
      <c r="G20" s="15"/>
      <c r="H20" s="15"/>
      <c r="I20" s="15"/>
      <c r="J20" s="15"/>
      <c r="K20" s="30"/>
      <c r="L20" s="30"/>
      <c r="M20" s="15"/>
      <c r="N20" s="15"/>
      <c r="O20" s="15"/>
      <c r="P20" s="15"/>
      <c r="Q20" s="15"/>
      <c r="R20" s="30"/>
      <c r="S20" s="30"/>
      <c r="T20" s="15"/>
      <c r="U20" s="15"/>
      <c r="V20" s="15"/>
      <c r="W20" s="15"/>
      <c r="X20" s="15"/>
      <c r="Y20" s="30">
        <v>4</v>
      </c>
      <c r="Z20" s="30"/>
      <c r="AA20" s="15"/>
      <c r="AB20" s="15"/>
      <c r="AC20" s="15"/>
      <c r="AD20" s="15"/>
      <c r="AE20" s="15"/>
      <c r="AF20" s="30">
        <v>4</v>
      </c>
      <c r="AG20" s="30"/>
      <c r="AH20" s="15"/>
      <c r="AI20" s="15"/>
      <c r="AJ20" s="15"/>
      <c r="AK20" s="15"/>
      <c r="AL20" s="15"/>
      <c r="AM20" s="30">
        <v>4</v>
      </c>
      <c r="AN20" s="30"/>
      <c r="AO20" s="112"/>
      <c r="AP20" s="89"/>
      <c r="AR20" s="19"/>
    </row>
    <row r="21" spans="1:44">
      <c r="A21" s="9"/>
      <c r="B21" s="31"/>
      <c r="C21" s="32"/>
      <c r="D21" s="9"/>
      <c r="E21" s="33"/>
      <c r="F21" s="34"/>
      <c r="G21" s="34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R21" s="19"/>
    </row>
    <row r="22" spans="1:44" hidden="1">
      <c r="A22" s="9"/>
      <c r="B22" s="31"/>
      <c r="C22" s="32"/>
      <c r="D22" s="9"/>
      <c r="E22" s="33"/>
      <c r="F22" s="34"/>
      <c r="G22" s="34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40"/>
      <c r="AN22" s="40"/>
      <c r="AO22" s="19"/>
      <c r="AP22" s="19"/>
      <c r="AR22" s="19"/>
    </row>
    <row r="23" spans="1:44" hidden="1">
      <c r="A23" s="9"/>
      <c r="B23" s="31"/>
      <c r="C23" s="32"/>
      <c r="D23" s="9"/>
      <c r="E23" s="33"/>
      <c r="F23" s="34"/>
      <c r="G23" s="34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40"/>
      <c r="AN23" s="40"/>
      <c r="AO23" s="19"/>
      <c r="AP23" s="19"/>
      <c r="AR23" s="19" t="str">
        <f t="shared" si="1"/>
        <v/>
      </c>
    </row>
    <row r="24" spans="1:44" hidden="1">
      <c r="A24" s="9"/>
      <c r="B24" s="31"/>
      <c r="C24" s="32"/>
      <c r="D24" s="9"/>
      <c r="E24" s="33"/>
      <c r="F24" s="34"/>
      <c r="G24" s="34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40"/>
      <c r="AN24" s="40"/>
      <c r="AO24" s="19"/>
      <c r="AP24" s="19"/>
      <c r="AR24" s="19" t="str">
        <f t="shared" si="1"/>
        <v/>
      </c>
    </row>
    <row r="25" spans="1:44" hidden="1">
      <c r="A25" s="35"/>
      <c r="B25" s="2"/>
      <c r="C25" s="2"/>
      <c r="D25" s="19"/>
      <c r="E25" s="33"/>
      <c r="F25" s="33"/>
      <c r="G25" s="3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R25" s="19"/>
    </row>
    <row r="26" spans="1:44" hidden="1">
      <c r="A26" s="9"/>
      <c r="B26" s="36"/>
      <c r="C26" s="2"/>
      <c r="D26" s="19"/>
      <c r="E26" s="33"/>
      <c r="F26" s="33"/>
      <c r="G26" s="33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R26" s="19"/>
    </row>
    <row r="27" spans="1:44" hidden="1">
      <c r="A27" s="2"/>
      <c r="B27" s="37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R27" s="19" t="str">
        <f t="shared" ref="AR27" si="2">IF(AQ27="","",AQ27-(AQ27*$AS$9))</f>
        <v/>
      </c>
    </row>
    <row r="28" spans="1:44">
      <c r="AD28" s="38" t="s">
        <v>169</v>
      </c>
    </row>
    <row r="29" spans="1:44" s="3" customFormat="1" ht="18" customHeight="1">
      <c r="B29" s="95" t="s">
        <v>134</v>
      </c>
      <c r="C29" s="95"/>
      <c r="J29" s="6" t="s">
        <v>135</v>
      </c>
      <c r="AE29" s="6" t="s">
        <v>136</v>
      </c>
    </row>
    <row r="30" spans="1:44">
      <c r="AD30" s="3"/>
    </row>
    <row r="34" spans="10:31">
      <c r="J34" s="39" t="s">
        <v>137</v>
      </c>
      <c r="AE34" s="39" t="s">
        <v>138</v>
      </c>
    </row>
  </sheetData>
  <mergeCells count="37"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B29:C29"/>
    <mergeCell ref="A7:A9"/>
    <mergeCell ref="A10:A13"/>
    <mergeCell ref="A14:A18"/>
    <mergeCell ref="A19:A20"/>
    <mergeCell ref="B7:B9"/>
    <mergeCell ref="B11:B12"/>
    <mergeCell ref="B14:B15"/>
    <mergeCell ref="B16:B17"/>
    <mergeCell ref="B19:B20"/>
    <mergeCell ref="C11:C12"/>
    <mergeCell ref="C14:C15"/>
    <mergeCell ref="C16:C17"/>
    <mergeCell ref="C19:C20"/>
    <mergeCell ref="AQ7:AQ9"/>
    <mergeCell ref="AR7:AR9"/>
    <mergeCell ref="D14:D18"/>
    <mergeCell ref="D19:D20"/>
    <mergeCell ref="AO7:AO9"/>
    <mergeCell ref="AO19:AO20"/>
    <mergeCell ref="AP7:AP9"/>
    <mergeCell ref="AP11:AP12"/>
    <mergeCell ref="AP14:AP15"/>
    <mergeCell ref="AP16:AP17"/>
    <mergeCell ref="AP19:AP20"/>
    <mergeCell ref="C8:E8"/>
    <mergeCell ref="D10:D13"/>
  </mergeCells>
  <printOptions horizontalCentered="1"/>
  <pageMargins left="0.24" right="0.18" top="0.49" bottom="0.35" header="0.28999999999999998" footer="0.31496062992126"/>
  <pageSetup paperSize="9" scale="69" orientation="landscape"/>
  <headerFooter differentFirst="1">
    <oddHeader>&amp;C&amp;P</oddHead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F69C-1573-410A-802C-C74D65494660}">
  <dimension ref="A1:AS33"/>
  <sheetViews>
    <sheetView topLeftCell="A13" workbookViewId="0">
      <selection activeCell="C27" sqref="C27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171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186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5</v>
      </c>
      <c r="G8" s="10">
        <v>6</v>
      </c>
      <c r="H8" s="7">
        <v>7</v>
      </c>
      <c r="I8" s="10">
        <v>8</v>
      </c>
      <c r="J8" s="7">
        <v>9</v>
      </c>
      <c r="K8" s="10">
        <v>10</v>
      </c>
      <c r="L8" s="7">
        <v>11</v>
      </c>
      <c r="M8" s="10">
        <v>12</v>
      </c>
      <c r="N8" s="7">
        <v>13</v>
      </c>
      <c r="O8" s="10">
        <v>14</v>
      </c>
      <c r="P8" s="7">
        <v>15</v>
      </c>
      <c r="Q8" s="10">
        <v>16</v>
      </c>
      <c r="R8" s="7">
        <v>17</v>
      </c>
      <c r="S8" s="10">
        <v>18</v>
      </c>
      <c r="T8" s="7">
        <v>19</v>
      </c>
      <c r="U8" s="10">
        <v>20</v>
      </c>
      <c r="V8" s="7">
        <v>21</v>
      </c>
      <c r="W8" s="10">
        <v>22</v>
      </c>
      <c r="X8" s="7">
        <v>23</v>
      </c>
      <c r="Y8" s="10">
        <v>24</v>
      </c>
      <c r="Z8" s="7">
        <v>25</v>
      </c>
      <c r="AA8" s="10">
        <v>26</v>
      </c>
      <c r="AB8" s="7">
        <v>27</v>
      </c>
      <c r="AC8" s="10">
        <v>28</v>
      </c>
      <c r="AD8" s="7">
        <v>29</v>
      </c>
      <c r="AE8" s="10">
        <v>30</v>
      </c>
      <c r="AF8" s="7">
        <v>31</v>
      </c>
      <c r="AG8" s="10">
        <v>1</v>
      </c>
      <c r="AH8" s="7"/>
      <c r="AI8" s="10"/>
      <c r="AJ8" s="7"/>
      <c r="AK8" s="10"/>
      <c r="AL8" s="7"/>
      <c r="AM8" s="10"/>
      <c r="AN8" s="7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idden="1">
      <c r="A10" s="84" t="s">
        <v>88</v>
      </c>
      <c r="B10" s="41"/>
      <c r="C10" s="23"/>
      <c r="D10" s="84" t="s">
        <v>44</v>
      </c>
      <c r="E10" s="15"/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 t="shared" ref="AO10:AO18" si="0">SUM(F10:AN10)</f>
        <v>0</v>
      </c>
      <c r="AP10" s="51" t="s">
        <v>66</v>
      </c>
      <c r="AQ10" s="45">
        <v>30</v>
      </c>
      <c r="AR10" s="19">
        <f t="shared" ref="AR10:AR18" si="1">IF(AQ10="","",AQ10-(AQ10*$AS$9))</f>
        <v>24</v>
      </c>
    </row>
    <row r="11" spans="1:45" ht="18.75" customHeight="1">
      <c r="A11" s="82"/>
      <c r="B11" s="77" t="s">
        <v>20</v>
      </c>
      <c r="C11" s="90" t="s">
        <v>152</v>
      </c>
      <c r="D11" s="82"/>
      <c r="E11" s="15" t="s">
        <v>45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/>
      <c r="R11" s="17">
        <v>4</v>
      </c>
      <c r="S11" s="17"/>
      <c r="T11" s="16"/>
      <c r="U11" s="16"/>
      <c r="V11" s="16"/>
      <c r="W11" s="16"/>
      <c r="X11" s="16"/>
      <c r="Y11" s="17">
        <v>4</v>
      </c>
      <c r="Z11" s="17"/>
      <c r="AA11" s="16"/>
      <c r="AB11" s="16"/>
      <c r="AC11" s="16"/>
      <c r="AD11" s="16"/>
      <c r="AE11" s="16"/>
      <c r="AF11" s="17">
        <v>4</v>
      </c>
      <c r="AG11" s="17"/>
      <c r="AH11" s="16"/>
      <c r="AI11" s="16"/>
      <c r="AJ11" s="16"/>
      <c r="AK11" s="16"/>
      <c r="AL11" s="16"/>
      <c r="AM11" s="17"/>
      <c r="AN11" s="17"/>
      <c r="AO11" s="16">
        <f t="shared" si="0"/>
        <v>12</v>
      </c>
      <c r="AP11" s="71" t="s">
        <v>192</v>
      </c>
      <c r="AQ11" s="45">
        <v>90</v>
      </c>
      <c r="AR11" s="19">
        <f t="shared" si="1"/>
        <v>72</v>
      </c>
    </row>
    <row r="12" spans="1:45" ht="18.75" customHeight="1">
      <c r="A12" s="82"/>
      <c r="B12" s="78"/>
      <c r="C12" s="80"/>
      <c r="D12" s="82"/>
      <c r="E12" s="15" t="s">
        <v>23</v>
      </c>
      <c r="F12" s="15"/>
      <c r="G12" s="15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>
        <v>4</v>
      </c>
      <c r="S12" s="17"/>
      <c r="T12" s="16"/>
      <c r="U12" s="16"/>
      <c r="V12" s="16"/>
      <c r="W12" s="16"/>
      <c r="X12" s="16"/>
      <c r="Y12" s="17">
        <v>4</v>
      </c>
      <c r="Z12" s="17"/>
      <c r="AA12" s="16"/>
      <c r="AB12" s="16"/>
      <c r="AC12" s="16"/>
      <c r="AD12" s="16"/>
      <c r="AE12" s="16"/>
      <c r="AF12" s="17">
        <v>4</v>
      </c>
      <c r="AG12" s="17"/>
      <c r="AH12" s="16"/>
      <c r="AI12" s="16"/>
      <c r="AJ12" s="16"/>
      <c r="AK12" s="16"/>
      <c r="AL12" s="16"/>
      <c r="AM12" s="17"/>
      <c r="AN12" s="17"/>
      <c r="AO12" s="16">
        <f t="shared" si="0"/>
        <v>12</v>
      </c>
      <c r="AP12" s="88"/>
      <c r="AQ12" s="45"/>
      <c r="AR12" s="19" t="str">
        <f t="shared" si="1"/>
        <v/>
      </c>
    </row>
    <row r="13" spans="1:45">
      <c r="A13" s="83"/>
      <c r="B13" s="22" t="s">
        <v>50</v>
      </c>
      <c r="C13" s="23" t="s">
        <v>28</v>
      </c>
      <c r="D13" s="83"/>
      <c r="E13" s="24" t="s">
        <v>30</v>
      </c>
      <c r="F13" s="25"/>
      <c r="G13" s="25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>
        <v>1</v>
      </c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7">
        <v>1</v>
      </c>
      <c r="AG13" s="17"/>
      <c r="AH13" s="16"/>
      <c r="AI13" s="16"/>
      <c r="AJ13" s="16"/>
      <c r="AK13" s="16"/>
      <c r="AL13" s="16"/>
      <c r="AM13" s="17"/>
      <c r="AN13" s="17"/>
      <c r="AO13" s="16">
        <f t="shared" si="0"/>
        <v>2</v>
      </c>
      <c r="AP13" s="16"/>
      <c r="AQ13" s="45"/>
      <c r="AR13" s="19" t="str">
        <f t="shared" si="1"/>
        <v/>
      </c>
    </row>
    <row r="14" spans="1:45">
      <c r="A14" s="84" t="s">
        <v>91</v>
      </c>
      <c r="B14" s="77" t="s">
        <v>36</v>
      </c>
      <c r="C14" s="90" t="s">
        <v>160</v>
      </c>
      <c r="D14" s="84" t="s">
        <v>44</v>
      </c>
      <c r="E14" s="15" t="s">
        <v>45</v>
      </c>
      <c r="F14" s="15"/>
      <c r="G14" s="15"/>
      <c r="H14" s="16"/>
      <c r="I14" s="16"/>
      <c r="J14" s="16"/>
      <c r="K14" s="17">
        <v>4</v>
      </c>
      <c r="L14" s="17"/>
      <c r="M14" s="16"/>
      <c r="N14" s="16"/>
      <c r="O14" s="16"/>
      <c r="P14" s="16"/>
      <c r="Q14" s="16"/>
      <c r="R14" s="17">
        <v>4</v>
      </c>
      <c r="S14" s="17"/>
      <c r="T14" s="16"/>
      <c r="U14" s="16"/>
      <c r="V14" s="16"/>
      <c r="W14" s="16"/>
      <c r="X14" s="16"/>
      <c r="Y14" s="17">
        <v>4</v>
      </c>
      <c r="Z14" s="17"/>
      <c r="AA14" s="16"/>
      <c r="AB14" s="16"/>
      <c r="AC14" s="16"/>
      <c r="AD14" s="16"/>
      <c r="AE14" s="16"/>
      <c r="AF14" s="17"/>
      <c r="AG14" s="17"/>
      <c r="AH14" s="16"/>
      <c r="AI14" s="16"/>
      <c r="AJ14" s="16"/>
      <c r="AK14" s="16"/>
      <c r="AL14" s="16"/>
      <c r="AM14" s="17"/>
      <c r="AN14" s="17"/>
      <c r="AO14" s="16">
        <f t="shared" si="0"/>
        <v>12</v>
      </c>
      <c r="AP14" s="85" t="s">
        <v>27</v>
      </c>
      <c r="AQ14" s="45">
        <v>60</v>
      </c>
      <c r="AR14" s="19">
        <f t="shared" si="1"/>
        <v>48</v>
      </c>
    </row>
    <row r="15" spans="1:45">
      <c r="A15" s="82"/>
      <c r="B15" s="78"/>
      <c r="C15" s="80"/>
      <c r="D15" s="82"/>
      <c r="E15" s="15" t="s">
        <v>23</v>
      </c>
      <c r="F15" s="15"/>
      <c r="G15" s="15"/>
      <c r="H15" s="16"/>
      <c r="I15" s="16"/>
      <c r="J15" s="16"/>
      <c r="K15" s="17">
        <v>4</v>
      </c>
      <c r="L15" s="17"/>
      <c r="M15" s="16"/>
      <c r="N15" s="16"/>
      <c r="O15" s="16"/>
      <c r="P15" s="16"/>
      <c r="Q15" s="16"/>
      <c r="R15" s="17">
        <v>4</v>
      </c>
      <c r="S15" s="17"/>
      <c r="T15" s="16"/>
      <c r="U15" s="16"/>
      <c r="V15" s="16"/>
      <c r="W15" s="16"/>
      <c r="X15" s="16"/>
      <c r="Y15" s="17">
        <v>4</v>
      </c>
      <c r="Z15" s="17"/>
      <c r="AA15" s="16"/>
      <c r="AB15" s="16"/>
      <c r="AC15" s="16"/>
      <c r="AD15" s="16"/>
      <c r="AE15" s="16"/>
      <c r="AF15" s="17"/>
      <c r="AG15" s="17"/>
      <c r="AH15" s="16"/>
      <c r="AI15" s="16"/>
      <c r="AJ15" s="16"/>
      <c r="AK15" s="16"/>
      <c r="AL15" s="16"/>
      <c r="AM15" s="17"/>
      <c r="AN15" s="17"/>
      <c r="AO15" s="16">
        <f t="shared" si="0"/>
        <v>12</v>
      </c>
      <c r="AP15" s="89"/>
      <c r="AQ15" s="45"/>
      <c r="AR15" s="19" t="str">
        <f t="shared" si="1"/>
        <v/>
      </c>
    </row>
    <row r="16" spans="1:45">
      <c r="A16" s="82"/>
      <c r="B16" s="77" t="s">
        <v>36</v>
      </c>
      <c r="C16" s="79" t="s">
        <v>193</v>
      </c>
      <c r="D16" s="82"/>
      <c r="E16" s="15" t="s">
        <v>45</v>
      </c>
      <c r="F16" s="15"/>
      <c r="G16" s="15"/>
      <c r="H16" s="16"/>
      <c r="I16" s="16"/>
      <c r="J16" s="16"/>
      <c r="K16" s="17"/>
      <c r="L16" s="17"/>
      <c r="M16" s="16"/>
      <c r="N16" s="16"/>
      <c r="O16" s="16"/>
      <c r="P16" s="16"/>
      <c r="Q16" s="16"/>
      <c r="R16" s="17"/>
      <c r="S16" s="17"/>
      <c r="T16" s="16"/>
      <c r="U16" s="16"/>
      <c r="V16" s="16"/>
      <c r="W16" s="16"/>
      <c r="X16" s="16"/>
      <c r="Y16" s="17"/>
      <c r="Z16" s="17"/>
      <c r="AA16" s="16"/>
      <c r="AB16" s="16"/>
      <c r="AC16" s="16"/>
      <c r="AD16" s="16"/>
      <c r="AE16" s="16"/>
      <c r="AF16" s="17">
        <v>4</v>
      </c>
      <c r="AG16" s="17"/>
      <c r="AH16" s="16"/>
      <c r="AI16" s="16"/>
      <c r="AJ16" s="16"/>
      <c r="AK16" s="16"/>
      <c r="AL16" s="16"/>
      <c r="AM16" s="17"/>
      <c r="AN16" s="17"/>
      <c r="AO16" s="16">
        <f t="shared" si="0"/>
        <v>4</v>
      </c>
      <c r="AP16" s="71" t="s">
        <v>116</v>
      </c>
      <c r="AQ16" s="45">
        <v>60</v>
      </c>
      <c r="AR16" s="19">
        <f t="shared" si="1"/>
        <v>48</v>
      </c>
    </row>
    <row r="17" spans="1:44">
      <c r="A17" s="82"/>
      <c r="B17" s="78"/>
      <c r="C17" s="80"/>
      <c r="D17" s="82"/>
      <c r="E17" s="15" t="s">
        <v>23</v>
      </c>
      <c r="F17" s="15"/>
      <c r="G17" s="15"/>
      <c r="H17" s="16"/>
      <c r="I17" s="16"/>
      <c r="J17" s="16"/>
      <c r="K17" s="17"/>
      <c r="L17" s="17"/>
      <c r="M17" s="16"/>
      <c r="N17" s="16"/>
      <c r="O17" s="16"/>
      <c r="P17" s="16"/>
      <c r="Q17" s="16"/>
      <c r="R17" s="17"/>
      <c r="S17" s="17"/>
      <c r="T17" s="16"/>
      <c r="U17" s="16"/>
      <c r="V17" s="16"/>
      <c r="W17" s="16"/>
      <c r="X17" s="16"/>
      <c r="Y17" s="17"/>
      <c r="Z17" s="17"/>
      <c r="AA17" s="16"/>
      <c r="AB17" s="16"/>
      <c r="AC17" s="16"/>
      <c r="AD17" s="16"/>
      <c r="AE17" s="16"/>
      <c r="AF17" s="17">
        <v>4</v>
      </c>
      <c r="AG17" s="17"/>
      <c r="AH17" s="16"/>
      <c r="AI17" s="16"/>
      <c r="AJ17" s="16"/>
      <c r="AK17" s="16"/>
      <c r="AL17" s="16"/>
      <c r="AM17" s="17"/>
      <c r="AN17" s="17"/>
      <c r="AO17" s="16">
        <f t="shared" si="0"/>
        <v>4</v>
      </c>
      <c r="AP17" s="88"/>
      <c r="AQ17" s="45"/>
      <c r="AR17" s="19" t="str">
        <f t="shared" si="1"/>
        <v/>
      </c>
    </row>
    <row r="18" spans="1:44">
      <c r="A18" s="83"/>
      <c r="B18" s="22" t="s">
        <v>36</v>
      </c>
      <c r="C18" s="23" t="s">
        <v>28</v>
      </c>
      <c r="D18" s="83"/>
      <c r="E18" s="24" t="s">
        <v>30</v>
      </c>
      <c r="F18" s="25"/>
      <c r="G18" s="25"/>
      <c r="H18" s="16"/>
      <c r="I18" s="16"/>
      <c r="J18" s="16"/>
      <c r="K18" s="17">
        <v>1</v>
      </c>
      <c r="L18" s="17"/>
      <c r="M18" s="16"/>
      <c r="N18" s="16"/>
      <c r="O18" s="16"/>
      <c r="P18" s="16"/>
      <c r="Q18" s="16"/>
      <c r="R18" s="17"/>
      <c r="S18" s="17"/>
      <c r="T18" s="16"/>
      <c r="U18" s="16"/>
      <c r="V18" s="16"/>
      <c r="W18" s="16"/>
      <c r="X18" s="16"/>
      <c r="Y18" s="17">
        <v>1</v>
      </c>
      <c r="Z18" s="17"/>
      <c r="AA18" s="16"/>
      <c r="AB18" s="16"/>
      <c r="AC18" s="16"/>
      <c r="AD18" s="16"/>
      <c r="AE18" s="16"/>
      <c r="AF18" s="17"/>
      <c r="AG18" s="17"/>
      <c r="AH18" s="16"/>
      <c r="AI18" s="16"/>
      <c r="AJ18" s="16"/>
      <c r="AK18" s="16"/>
      <c r="AL18" s="16"/>
      <c r="AM18" s="17"/>
      <c r="AN18" s="17"/>
      <c r="AO18" s="16">
        <f t="shared" si="0"/>
        <v>2</v>
      </c>
      <c r="AP18" s="16"/>
      <c r="AQ18" s="45"/>
      <c r="AR18" s="19" t="str">
        <f t="shared" si="1"/>
        <v/>
      </c>
    </row>
    <row r="19" spans="1:44">
      <c r="A19" s="117" t="s">
        <v>210</v>
      </c>
      <c r="B19" s="125" t="s">
        <v>174</v>
      </c>
      <c r="C19" s="124" t="s">
        <v>173</v>
      </c>
      <c r="D19" s="117" t="s">
        <v>44</v>
      </c>
      <c r="E19" s="64" t="s">
        <v>45</v>
      </c>
      <c r="F19" s="64"/>
      <c r="G19" s="64"/>
      <c r="H19" s="64"/>
      <c r="I19" s="64"/>
      <c r="J19" s="64"/>
      <c r="K19" s="65">
        <v>4</v>
      </c>
      <c r="L19" s="65"/>
      <c r="M19" s="64"/>
      <c r="N19" s="64"/>
      <c r="O19" s="64"/>
      <c r="P19" s="64"/>
      <c r="Q19" s="64"/>
      <c r="R19" s="65"/>
      <c r="S19" s="65"/>
      <c r="T19" s="64"/>
      <c r="U19" s="64"/>
      <c r="V19" s="64"/>
      <c r="W19" s="64"/>
      <c r="X19" s="64"/>
      <c r="Y19" s="65"/>
      <c r="Z19" s="65"/>
      <c r="AA19" s="64"/>
      <c r="AB19" s="64"/>
      <c r="AC19" s="64"/>
      <c r="AD19" s="64"/>
      <c r="AE19" s="64"/>
      <c r="AF19" s="65"/>
      <c r="AG19" s="65"/>
      <c r="AH19" s="66"/>
      <c r="AI19" s="66"/>
      <c r="AJ19" s="67"/>
      <c r="AK19" s="67"/>
      <c r="AL19" s="67"/>
      <c r="AM19" s="67"/>
      <c r="AN19" s="67"/>
      <c r="AO19" s="120">
        <f>SUM(J19:AG20)</f>
        <v>8</v>
      </c>
      <c r="AP19" s="122" t="s">
        <v>211</v>
      </c>
      <c r="AQ19" s="45"/>
      <c r="AR19" s="19"/>
    </row>
    <row r="20" spans="1:44">
      <c r="A20" s="118"/>
      <c r="B20" s="125"/>
      <c r="C20" s="124"/>
      <c r="D20" s="118"/>
      <c r="E20" s="64" t="s">
        <v>177</v>
      </c>
      <c r="F20" s="64"/>
      <c r="G20" s="64"/>
      <c r="H20" s="64"/>
      <c r="I20" s="64"/>
      <c r="J20" s="64"/>
      <c r="K20" s="65">
        <v>4</v>
      </c>
      <c r="L20" s="65"/>
      <c r="M20" s="64"/>
      <c r="N20" s="64"/>
      <c r="O20" s="64"/>
      <c r="P20" s="64"/>
      <c r="Q20" s="64"/>
      <c r="R20" s="65"/>
      <c r="S20" s="65"/>
      <c r="T20" s="64"/>
      <c r="U20" s="64"/>
      <c r="V20" s="64"/>
      <c r="W20" s="64"/>
      <c r="X20" s="64"/>
      <c r="Y20" s="65"/>
      <c r="Z20" s="65"/>
      <c r="AA20" s="64"/>
      <c r="AB20" s="64"/>
      <c r="AC20" s="64"/>
      <c r="AD20" s="64"/>
      <c r="AE20" s="64"/>
      <c r="AF20" s="65"/>
      <c r="AG20" s="65"/>
      <c r="AJ20" s="19"/>
      <c r="AK20" s="19"/>
      <c r="AL20" s="19"/>
      <c r="AM20" s="19"/>
      <c r="AN20" s="19"/>
      <c r="AO20" s="121"/>
      <c r="AP20" s="123"/>
      <c r="AQ20" s="45"/>
      <c r="AR20" s="19"/>
    </row>
    <row r="21" spans="1:44">
      <c r="A21" s="118"/>
      <c r="B21" s="125" t="s">
        <v>137</v>
      </c>
      <c r="C21" s="124" t="s">
        <v>212</v>
      </c>
      <c r="D21" s="118"/>
      <c r="E21" s="64" t="s">
        <v>45</v>
      </c>
      <c r="F21" s="64"/>
      <c r="G21" s="64"/>
      <c r="H21" s="64"/>
      <c r="I21" s="64"/>
      <c r="J21" s="64"/>
      <c r="K21" s="65"/>
      <c r="L21" s="65"/>
      <c r="M21" s="64"/>
      <c r="N21" s="64"/>
      <c r="O21" s="64"/>
      <c r="P21" s="64"/>
      <c r="Q21" s="64"/>
      <c r="R21" s="65">
        <v>4</v>
      </c>
      <c r="S21" s="65"/>
      <c r="T21" s="64"/>
      <c r="U21" s="64"/>
      <c r="V21" s="64"/>
      <c r="W21" s="64"/>
      <c r="X21" s="64"/>
      <c r="Y21" s="65">
        <v>4</v>
      </c>
      <c r="Z21" s="65"/>
      <c r="AA21" s="64"/>
      <c r="AB21" s="64"/>
      <c r="AC21" s="64"/>
      <c r="AD21" s="64"/>
      <c r="AE21" s="64"/>
      <c r="AF21" s="65">
        <v>4</v>
      </c>
      <c r="AG21" s="65"/>
      <c r="AJ21" s="19"/>
      <c r="AK21" s="19"/>
      <c r="AL21" s="19"/>
      <c r="AM21" s="19"/>
      <c r="AN21" s="19"/>
      <c r="AO21" s="126">
        <f>SUM(R21:AG22)</f>
        <v>24</v>
      </c>
      <c r="AP21" s="127" t="s">
        <v>66</v>
      </c>
      <c r="AQ21" s="45"/>
      <c r="AR21" s="19"/>
    </row>
    <row r="22" spans="1:44">
      <c r="A22" s="119"/>
      <c r="B22" s="125"/>
      <c r="C22" s="124"/>
      <c r="D22" s="119"/>
      <c r="E22" s="64" t="s">
        <v>177</v>
      </c>
      <c r="F22" s="64"/>
      <c r="G22" s="64"/>
      <c r="H22" s="64"/>
      <c r="I22" s="64"/>
      <c r="J22" s="64"/>
      <c r="K22" s="65"/>
      <c r="L22" s="65"/>
      <c r="M22" s="64"/>
      <c r="N22" s="64"/>
      <c r="O22" s="64"/>
      <c r="P22" s="64"/>
      <c r="Q22" s="64"/>
      <c r="R22" s="65">
        <v>4</v>
      </c>
      <c r="S22" s="65"/>
      <c r="T22" s="64"/>
      <c r="U22" s="64"/>
      <c r="V22" s="64"/>
      <c r="W22" s="64"/>
      <c r="X22" s="64"/>
      <c r="Y22" s="65">
        <v>4</v>
      </c>
      <c r="Z22" s="65"/>
      <c r="AA22" s="64"/>
      <c r="AB22" s="64"/>
      <c r="AC22" s="64"/>
      <c r="AD22" s="64"/>
      <c r="AE22" s="64"/>
      <c r="AF22" s="65">
        <v>4</v>
      </c>
      <c r="AG22" s="65"/>
      <c r="AH22" s="68"/>
      <c r="AI22" s="68"/>
      <c r="AJ22" s="69"/>
      <c r="AK22" s="69"/>
      <c r="AL22" s="69"/>
      <c r="AM22" s="69"/>
      <c r="AN22" s="69"/>
      <c r="AO22" s="126"/>
      <c r="AP22" s="127"/>
      <c r="AQ22" s="45"/>
      <c r="AR22" s="19"/>
    </row>
    <row r="23" spans="1:44">
      <c r="B23" s="2"/>
      <c r="C23" s="2"/>
      <c r="D23" s="19"/>
      <c r="E23" s="61"/>
      <c r="F23" s="33"/>
      <c r="G23" s="3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Q23" s="45"/>
      <c r="AR23" s="19"/>
    </row>
    <row r="24" spans="1:44" hidden="1">
      <c r="B24" s="2"/>
      <c r="C24" s="2"/>
      <c r="D24" s="19"/>
      <c r="E24" s="61"/>
      <c r="F24" s="33"/>
      <c r="G24" s="33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Q24" s="45"/>
      <c r="AR24" s="19"/>
    </row>
    <row r="25" spans="1:44" hidden="1">
      <c r="A25" s="9"/>
      <c r="B25" s="36"/>
      <c r="C25" s="2"/>
      <c r="D25" s="19"/>
      <c r="E25" s="33"/>
      <c r="F25" s="33"/>
      <c r="G25" s="3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R25" s="19"/>
    </row>
    <row r="26" spans="1:44" hidden="1">
      <c r="A26" s="35"/>
      <c r="B26" s="37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R26" s="19" t="str">
        <f>IF(AQ26="","",AQ26-(AQ26*$AS$9))</f>
        <v/>
      </c>
    </row>
    <row r="27" spans="1:44">
      <c r="AD27" s="63" t="s">
        <v>208</v>
      </c>
    </row>
    <row r="28" spans="1:44" s="3" customFormat="1" ht="18" customHeight="1">
      <c r="B28" s="95" t="s">
        <v>134</v>
      </c>
      <c r="C28" s="95"/>
      <c r="J28" s="6" t="s">
        <v>135</v>
      </c>
      <c r="AE28" s="6" t="s">
        <v>136</v>
      </c>
    </row>
    <row r="29" spans="1:44">
      <c r="AD29" s="3"/>
    </row>
    <row r="33" spans="10:31">
      <c r="J33" s="39" t="s">
        <v>137</v>
      </c>
      <c r="AE33" s="39" t="s">
        <v>138</v>
      </c>
    </row>
  </sheetData>
  <mergeCells count="41">
    <mergeCell ref="AQ7:AQ9"/>
    <mergeCell ref="AR7:AR9"/>
    <mergeCell ref="A1:D1"/>
    <mergeCell ref="A2:D2"/>
    <mergeCell ref="A4:AP4"/>
    <mergeCell ref="A5:AP5"/>
    <mergeCell ref="A7:A9"/>
    <mergeCell ref="B7:B9"/>
    <mergeCell ref="C7:E7"/>
    <mergeCell ref="F7:L7"/>
    <mergeCell ref="M7:S7"/>
    <mergeCell ref="T7:Z7"/>
    <mergeCell ref="C8:E8"/>
    <mergeCell ref="AP11:AP12"/>
    <mergeCell ref="AA7:AG7"/>
    <mergeCell ref="AH7:AN7"/>
    <mergeCell ref="AO7:AO9"/>
    <mergeCell ref="AP7:AP9"/>
    <mergeCell ref="A10:A13"/>
    <mergeCell ref="D10:D13"/>
    <mergeCell ref="B11:B12"/>
    <mergeCell ref="C11:C12"/>
    <mergeCell ref="A14:A18"/>
    <mergeCell ref="B14:B15"/>
    <mergeCell ref="C14:C15"/>
    <mergeCell ref="D14:D18"/>
    <mergeCell ref="AP14:AP15"/>
    <mergeCell ref="B16:B17"/>
    <mergeCell ref="C16:C17"/>
    <mergeCell ref="AP16:AP17"/>
    <mergeCell ref="B28:C28"/>
    <mergeCell ref="A19:A22"/>
    <mergeCell ref="D19:D22"/>
    <mergeCell ref="AO19:AO20"/>
    <mergeCell ref="AP19:AP20"/>
    <mergeCell ref="C21:C22"/>
    <mergeCell ref="B21:B22"/>
    <mergeCell ref="AO21:AO22"/>
    <mergeCell ref="AP21:AP22"/>
    <mergeCell ref="C19:C20"/>
    <mergeCell ref="B19:B20"/>
  </mergeCells>
  <printOptions horizontalCentered="1"/>
  <pageMargins left="0.24" right="0.18" top="0.49" bottom="0.35" header="0.28999999999999998" footer="0.31496062992126"/>
  <pageSetup paperSize="9" scale="79" orientation="landscape" r:id="rId1"/>
  <headerFooter differentFirst="1">
    <oddHeader>&amp;C&amp;P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5"/>
  <sheetViews>
    <sheetView workbookViewId="0">
      <selection activeCell="N21" sqref="N21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40" width="2.78515625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178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31</v>
      </c>
      <c r="G8" s="10">
        <v>1</v>
      </c>
      <c r="H8" s="7">
        <v>2</v>
      </c>
      <c r="I8" s="10">
        <v>3</v>
      </c>
      <c r="J8" s="7">
        <v>4</v>
      </c>
      <c r="K8" s="10">
        <v>5</v>
      </c>
      <c r="L8" s="7">
        <v>6</v>
      </c>
      <c r="M8" s="10">
        <v>7</v>
      </c>
      <c r="N8" s="7">
        <v>8</v>
      </c>
      <c r="O8" s="10">
        <v>9</v>
      </c>
      <c r="P8" s="7">
        <v>10</v>
      </c>
      <c r="Q8" s="10">
        <v>11</v>
      </c>
      <c r="R8" s="7">
        <v>12</v>
      </c>
      <c r="S8" s="10">
        <v>13</v>
      </c>
      <c r="T8" s="7">
        <v>14</v>
      </c>
      <c r="U8" s="10">
        <v>15</v>
      </c>
      <c r="V8" s="7">
        <v>16</v>
      </c>
      <c r="W8" s="10">
        <v>17</v>
      </c>
      <c r="X8" s="7">
        <v>18</v>
      </c>
      <c r="Y8" s="10">
        <v>19</v>
      </c>
      <c r="Z8" s="7">
        <v>20</v>
      </c>
      <c r="AA8" s="10">
        <v>21</v>
      </c>
      <c r="AB8" s="7">
        <v>22</v>
      </c>
      <c r="AC8" s="10">
        <v>23</v>
      </c>
      <c r="AD8" s="7">
        <v>24</v>
      </c>
      <c r="AE8" s="10">
        <v>25</v>
      </c>
      <c r="AF8" s="7">
        <v>26</v>
      </c>
      <c r="AG8" s="10">
        <v>27</v>
      </c>
      <c r="AH8" s="7">
        <v>28</v>
      </c>
      <c r="AI8" s="10">
        <v>29</v>
      </c>
      <c r="AJ8" s="7">
        <v>30</v>
      </c>
      <c r="AK8" s="7">
        <v>1</v>
      </c>
      <c r="AL8" s="10">
        <v>2</v>
      </c>
      <c r="AM8" s="7">
        <v>3</v>
      </c>
      <c r="AN8" s="10">
        <v>4</v>
      </c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t="18" customHeight="1">
      <c r="A10" s="84" t="s">
        <v>101</v>
      </c>
      <c r="B10" s="77" t="s">
        <v>38</v>
      </c>
      <c r="C10" s="77" t="s">
        <v>152</v>
      </c>
      <c r="D10" s="84" t="s">
        <v>56</v>
      </c>
      <c r="E10" s="15" t="s">
        <v>45</v>
      </c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>
        <v>4</v>
      </c>
      <c r="Z10" s="17"/>
      <c r="AA10" s="16"/>
      <c r="AB10" s="16"/>
      <c r="AC10" s="16"/>
      <c r="AD10" s="16"/>
      <c r="AE10" s="16"/>
      <c r="AF10" s="17">
        <v>4</v>
      </c>
      <c r="AG10" s="17"/>
      <c r="AH10" s="16"/>
      <c r="AI10" s="16"/>
      <c r="AJ10" s="16"/>
      <c r="AK10" s="16"/>
      <c r="AL10" s="16"/>
      <c r="AM10" s="17">
        <v>4</v>
      </c>
      <c r="AN10" s="17"/>
      <c r="AO10" s="16">
        <f t="shared" ref="AO10:AO12" si="0">SUM(F10:AN10)</f>
        <v>12</v>
      </c>
      <c r="AP10" s="106" t="s">
        <v>162</v>
      </c>
      <c r="AQ10">
        <v>90</v>
      </c>
      <c r="AR10" s="19">
        <f t="shared" ref="AR10:AR15" si="1">IF(AQ10="","",AQ10-(AQ10*$AS$9))</f>
        <v>72</v>
      </c>
    </row>
    <row r="11" spans="1:45">
      <c r="A11" s="82"/>
      <c r="B11" s="78"/>
      <c r="C11" s="78"/>
      <c r="D11" s="82"/>
      <c r="E11" s="15" t="s">
        <v>23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/>
      <c r="R11" s="17"/>
      <c r="S11" s="17"/>
      <c r="T11" s="16"/>
      <c r="U11" s="16"/>
      <c r="V11" s="16"/>
      <c r="W11" s="16"/>
      <c r="X11" s="16">
        <v>4</v>
      </c>
      <c r="Y11" s="17">
        <v>4</v>
      </c>
      <c r="Z11" s="17"/>
      <c r="AA11" s="16"/>
      <c r="AB11" s="16"/>
      <c r="AC11" s="16"/>
      <c r="AD11" s="16"/>
      <c r="AE11" s="16">
        <v>4</v>
      </c>
      <c r="AF11" s="17">
        <v>4</v>
      </c>
      <c r="AG11" s="17"/>
      <c r="AH11" s="16"/>
      <c r="AI11" s="16"/>
      <c r="AJ11" s="16"/>
      <c r="AK11" s="16"/>
      <c r="AL11" s="16">
        <v>4</v>
      </c>
      <c r="AM11" s="17">
        <v>4</v>
      </c>
      <c r="AN11" s="17"/>
      <c r="AO11" s="16">
        <f t="shared" si="0"/>
        <v>24</v>
      </c>
      <c r="AP11" s="89"/>
      <c r="AR11" s="19" t="str">
        <f t="shared" si="1"/>
        <v/>
      </c>
    </row>
    <row r="12" spans="1:45">
      <c r="A12" s="83"/>
      <c r="B12" s="22" t="s">
        <v>55</v>
      </c>
      <c r="C12" s="23" t="s">
        <v>28</v>
      </c>
      <c r="D12" s="83"/>
      <c r="E12" s="24" t="s">
        <v>30</v>
      </c>
      <c r="F12" s="25"/>
      <c r="G12" s="25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>
        <v>1</v>
      </c>
      <c r="Y12" s="17"/>
      <c r="Z12" s="17"/>
      <c r="AA12" s="16"/>
      <c r="AB12" s="16"/>
      <c r="AC12" s="16"/>
      <c r="AD12" s="16"/>
      <c r="AE12" s="16"/>
      <c r="AF12" s="17"/>
      <c r="AG12" s="17"/>
      <c r="AH12" s="16"/>
      <c r="AI12" s="16"/>
      <c r="AJ12" s="16"/>
      <c r="AK12" s="16"/>
      <c r="AL12" s="16">
        <v>1</v>
      </c>
      <c r="AM12" s="17"/>
      <c r="AN12" s="17"/>
      <c r="AO12" s="16">
        <f t="shared" si="0"/>
        <v>2</v>
      </c>
      <c r="AP12" s="16"/>
      <c r="AR12" s="19" t="str">
        <f t="shared" si="1"/>
        <v/>
      </c>
    </row>
    <row r="13" spans="1:45">
      <c r="A13" s="9"/>
      <c r="B13" s="31"/>
      <c r="C13" s="32"/>
      <c r="D13" s="9"/>
      <c r="E13" s="33"/>
      <c r="F13" s="34"/>
      <c r="G13" s="34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40"/>
      <c r="AN13" s="40"/>
      <c r="AO13" s="19"/>
      <c r="AP13" s="19"/>
      <c r="AR13" s="19" t="str">
        <f t="shared" si="1"/>
        <v/>
      </c>
    </row>
    <row r="14" spans="1:45" hidden="1">
      <c r="A14" s="9"/>
      <c r="B14" s="31"/>
      <c r="C14" s="32"/>
      <c r="D14" s="9"/>
      <c r="E14" s="33"/>
      <c r="F14" s="34"/>
      <c r="G14" s="3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40"/>
      <c r="AN14" s="40"/>
      <c r="AO14" s="19"/>
      <c r="AP14" s="19"/>
      <c r="AR14" s="19" t="str">
        <f t="shared" si="1"/>
        <v/>
      </c>
    </row>
    <row r="15" spans="1:45" hidden="1">
      <c r="A15" s="9"/>
      <c r="B15" s="31"/>
      <c r="C15" s="32"/>
      <c r="D15" s="9"/>
      <c r="E15" s="33"/>
      <c r="F15" s="34"/>
      <c r="G15" s="34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40"/>
      <c r="AN15" s="40"/>
      <c r="AO15" s="19"/>
      <c r="AP15" s="19"/>
      <c r="AR15" s="19" t="str">
        <f t="shared" si="1"/>
        <v/>
      </c>
    </row>
    <row r="16" spans="1:45" hidden="1">
      <c r="A16" s="35"/>
      <c r="B16" s="2"/>
      <c r="C16" s="2"/>
      <c r="D16" s="19"/>
      <c r="E16" s="33"/>
      <c r="F16" s="33"/>
      <c r="G16" s="33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R16" s="19"/>
    </row>
    <row r="17" spans="1:44" hidden="1">
      <c r="A17" s="9"/>
      <c r="B17" s="36"/>
      <c r="C17" s="2"/>
      <c r="D17" s="19"/>
      <c r="E17" s="33"/>
      <c r="F17" s="33"/>
      <c r="G17" s="33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R17" s="19"/>
    </row>
    <row r="18" spans="1:44" hidden="1">
      <c r="A18" s="2"/>
      <c r="B18" s="3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R18" s="19" t="str">
        <f t="shared" ref="AR18" si="2">IF(AQ18="","",AQ18-(AQ18*$AS$9))</f>
        <v/>
      </c>
    </row>
    <row r="19" spans="1:44">
      <c r="AD19" s="38" t="s">
        <v>169</v>
      </c>
    </row>
    <row r="20" spans="1:44" s="3" customFormat="1" ht="18" customHeight="1">
      <c r="B20" s="95" t="s">
        <v>134</v>
      </c>
      <c r="C20" s="95"/>
      <c r="J20" s="6" t="s">
        <v>135</v>
      </c>
      <c r="AE20" s="6" t="s">
        <v>136</v>
      </c>
    </row>
    <row r="21" spans="1:44">
      <c r="AD21" s="3"/>
    </row>
    <row r="25" spans="1:44">
      <c r="J25" s="39" t="s">
        <v>137</v>
      </c>
      <c r="AE25" s="39" t="s">
        <v>138</v>
      </c>
    </row>
  </sheetData>
  <mergeCells count="23"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AO7:AO9"/>
    <mergeCell ref="AP7:AP9"/>
    <mergeCell ref="A7:A9"/>
    <mergeCell ref="A10:A12"/>
    <mergeCell ref="B7:B9"/>
    <mergeCell ref="B10:B11"/>
    <mergeCell ref="C10:C11"/>
    <mergeCell ref="AP10:AP11"/>
    <mergeCell ref="AQ7:AQ9"/>
    <mergeCell ref="AR7:AR9"/>
    <mergeCell ref="C8:E8"/>
    <mergeCell ref="B20:C20"/>
    <mergeCell ref="D10:D12"/>
  </mergeCells>
  <printOptions horizontalCentered="1"/>
  <pageMargins left="0.24" right="0.18" top="0.49" bottom="0.35" header="0.28999999999999998" footer="0.31496062992126"/>
  <pageSetup paperSize="9" scale="69" orientation="landscape"/>
  <headerFooter differentFirst="1">
    <oddHeader>&amp;C&amp;P</oddHeader>
  </headerFooter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56B2-2ADD-410B-A094-4FE973413BAD}">
  <dimension ref="A1:AS27"/>
  <sheetViews>
    <sheetView workbookViewId="0">
      <selection activeCell="L21" sqref="L21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9" t="s">
        <v>178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186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5</v>
      </c>
      <c r="G8" s="10">
        <v>6</v>
      </c>
      <c r="H8" s="7">
        <v>7</v>
      </c>
      <c r="I8" s="10">
        <v>8</v>
      </c>
      <c r="J8" s="7">
        <v>9</v>
      </c>
      <c r="K8" s="10">
        <v>10</v>
      </c>
      <c r="L8" s="7">
        <v>11</v>
      </c>
      <c r="M8" s="10">
        <v>12</v>
      </c>
      <c r="N8" s="7">
        <v>13</v>
      </c>
      <c r="O8" s="10">
        <v>14</v>
      </c>
      <c r="P8" s="7">
        <v>15</v>
      </c>
      <c r="Q8" s="10">
        <v>16</v>
      </c>
      <c r="R8" s="7">
        <v>17</v>
      </c>
      <c r="S8" s="10">
        <v>18</v>
      </c>
      <c r="T8" s="7">
        <v>19</v>
      </c>
      <c r="U8" s="10">
        <v>20</v>
      </c>
      <c r="V8" s="7">
        <v>21</v>
      </c>
      <c r="W8" s="10">
        <v>22</v>
      </c>
      <c r="X8" s="7">
        <v>23</v>
      </c>
      <c r="Y8" s="10">
        <v>24</v>
      </c>
      <c r="Z8" s="7">
        <v>25</v>
      </c>
      <c r="AA8" s="10">
        <v>26</v>
      </c>
      <c r="AB8" s="7">
        <v>27</v>
      </c>
      <c r="AC8" s="10">
        <v>28</v>
      </c>
      <c r="AD8" s="7">
        <v>29</v>
      </c>
      <c r="AE8" s="10">
        <v>30</v>
      </c>
      <c r="AF8" s="7">
        <v>31</v>
      </c>
      <c r="AG8" s="10">
        <v>1</v>
      </c>
      <c r="AH8" s="7"/>
      <c r="AI8" s="10"/>
      <c r="AJ8" s="7"/>
      <c r="AK8" s="10"/>
      <c r="AL8" s="7"/>
      <c r="AM8" s="10"/>
      <c r="AN8" s="7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t="18" customHeight="1">
      <c r="A10" s="84" t="s">
        <v>101</v>
      </c>
      <c r="B10" s="77" t="s">
        <v>38</v>
      </c>
      <c r="C10" s="77" t="s">
        <v>152</v>
      </c>
      <c r="D10" s="84" t="s">
        <v>56</v>
      </c>
      <c r="E10" s="15" t="s">
        <v>45</v>
      </c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>
        <v>4</v>
      </c>
      <c r="S10" s="17"/>
      <c r="T10" s="16"/>
      <c r="U10" s="16"/>
      <c r="V10" s="16"/>
      <c r="W10" s="16"/>
      <c r="X10" s="16"/>
      <c r="Y10" s="17">
        <v>4</v>
      </c>
      <c r="Z10" s="17"/>
      <c r="AA10" s="16"/>
      <c r="AB10" s="16"/>
      <c r="AC10" s="16"/>
      <c r="AD10" s="16"/>
      <c r="AE10" s="16"/>
      <c r="AF10" s="17">
        <v>4</v>
      </c>
      <c r="AG10" s="17"/>
      <c r="AH10" s="16"/>
      <c r="AI10" s="16"/>
      <c r="AJ10" s="16"/>
      <c r="AK10" s="16"/>
      <c r="AL10" s="16"/>
      <c r="AM10" s="17"/>
      <c r="AN10" s="17"/>
      <c r="AO10" s="16">
        <f t="shared" ref="AO10:AO12" si="0">SUM(F10:AN10)</f>
        <v>12</v>
      </c>
      <c r="AP10" s="85" t="s">
        <v>194</v>
      </c>
      <c r="AQ10" s="45">
        <v>90</v>
      </c>
      <c r="AR10" s="19">
        <f t="shared" ref="AR10:AR12" si="1">IF(AQ10="","",AQ10-(AQ10*$AS$9))</f>
        <v>72</v>
      </c>
    </row>
    <row r="11" spans="1:45">
      <c r="A11" s="82"/>
      <c r="B11" s="78"/>
      <c r="C11" s="78"/>
      <c r="D11" s="82"/>
      <c r="E11" s="15" t="s">
        <v>23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>
        <v>4</v>
      </c>
      <c r="R11" s="17">
        <v>4</v>
      </c>
      <c r="S11" s="17"/>
      <c r="T11" s="16"/>
      <c r="U11" s="16"/>
      <c r="V11" s="16"/>
      <c r="W11" s="16"/>
      <c r="X11" s="16">
        <v>4</v>
      </c>
      <c r="Y11" s="17">
        <v>4</v>
      </c>
      <c r="Z11" s="17"/>
      <c r="AA11" s="16"/>
      <c r="AB11" s="16"/>
      <c r="AC11" s="16"/>
      <c r="AD11" s="16"/>
      <c r="AE11" s="16">
        <v>4</v>
      </c>
      <c r="AF11" s="17">
        <v>4</v>
      </c>
      <c r="AG11" s="17"/>
      <c r="AH11" s="16"/>
      <c r="AI11" s="16"/>
      <c r="AJ11" s="16"/>
      <c r="AK11" s="16"/>
      <c r="AL11" s="16"/>
      <c r="AM11" s="17"/>
      <c r="AN11" s="17"/>
      <c r="AO11" s="16">
        <f t="shared" si="0"/>
        <v>24</v>
      </c>
      <c r="AP11" s="89"/>
      <c r="AQ11" s="45"/>
      <c r="AR11" s="19" t="str">
        <f t="shared" si="1"/>
        <v/>
      </c>
    </row>
    <row r="12" spans="1:45">
      <c r="A12" s="83"/>
      <c r="B12" s="22" t="s">
        <v>55</v>
      </c>
      <c r="C12" s="23" t="s">
        <v>28</v>
      </c>
      <c r="D12" s="83"/>
      <c r="E12" s="24" t="s">
        <v>30</v>
      </c>
      <c r="F12" s="25"/>
      <c r="G12" s="25"/>
      <c r="H12" s="16"/>
      <c r="I12" s="16"/>
      <c r="J12" s="16"/>
      <c r="K12" s="17"/>
      <c r="L12" s="17"/>
      <c r="M12" s="16"/>
      <c r="N12" s="16"/>
      <c r="O12" s="16"/>
      <c r="P12" s="16"/>
      <c r="Q12" s="16">
        <v>1</v>
      </c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>
        <v>1</v>
      </c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0"/>
        <v>2</v>
      </c>
      <c r="AP12" s="16"/>
      <c r="AQ12" s="45"/>
      <c r="AR12" s="19" t="str">
        <f t="shared" si="1"/>
        <v/>
      </c>
    </row>
    <row r="13" spans="1:45" hidden="1">
      <c r="B13" s="2"/>
      <c r="C13" s="2"/>
      <c r="D13" s="19"/>
      <c r="E13" s="61"/>
      <c r="F13" s="33"/>
      <c r="G13" s="33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Q13" s="45"/>
      <c r="AR13" s="19"/>
    </row>
    <row r="14" spans="1:45" hidden="1">
      <c r="B14" s="2"/>
      <c r="C14" s="2"/>
      <c r="D14" s="19"/>
      <c r="E14" s="61"/>
      <c r="F14" s="33"/>
      <c r="G14" s="33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Q14" s="45"/>
      <c r="AR14" s="19"/>
    </row>
    <row r="15" spans="1:45" hidden="1">
      <c r="B15" s="2"/>
      <c r="C15" s="2"/>
      <c r="D15" s="19"/>
      <c r="E15" s="61"/>
      <c r="F15" s="33"/>
      <c r="G15" s="33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Q15" s="45"/>
      <c r="AR15" s="19"/>
    </row>
    <row r="16" spans="1:45" hidden="1">
      <c r="B16" s="2"/>
      <c r="C16" s="2"/>
      <c r="D16" s="19"/>
      <c r="E16" s="61"/>
      <c r="F16" s="33"/>
      <c r="G16" s="33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Q16" s="45"/>
      <c r="AR16" s="19"/>
    </row>
    <row r="17" spans="1:44" hidden="1">
      <c r="B17" s="2"/>
      <c r="C17" s="2"/>
      <c r="D17" s="19"/>
      <c r="E17" s="61"/>
      <c r="F17" s="33"/>
      <c r="G17" s="33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Q17" s="45"/>
      <c r="AR17" s="19"/>
    </row>
    <row r="18" spans="1:44" hidden="1">
      <c r="B18" s="2"/>
      <c r="C18" s="2"/>
      <c r="D18" s="19"/>
      <c r="E18" s="61"/>
      <c r="F18" s="33"/>
      <c r="G18" s="3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Q18" s="45"/>
      <c r="AR18" s="19"/>
    </row>
    <row r="19" spans="1:44" hidden="1">
      <c r="A19" s="9"/>
      <c r="B19" s="36"/>
      <c r="C19" s="2"/>
      <c r="D19" s="19"/>
      <c r="E19" s="33"/>
      <c r="F19" s="33"/>
      <c r="G19" s="3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R19" s="19"/>
    </row>
    <row r="20" spans="1:44">
      <c r="A20" s="35"/>
      <c r="B20" s="3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R20" s="19" t="str">
        <f>IF(AQ20="","",AQ20-(AQ20*$AS$9))</f>
        <v/>
      </c>
    </row>
    <row r="21" spans="1:44">
      <c r="AD21" s="63" t="s">
        <v>208</v>
      </c>
    </row>
    <row r="22" spans="1:44" s="3" customFormat="1" ht="18" customHeight="1">
      <c r="B22" s="95" t="s">
        <v>134</v>
      </c>
      <c r="C22" s="95"/>
      <c r="J22" s="6" t="s">
        <v>135</v>
      </c>
      <c r="AE22" s="6" t="s">
        <v>136</v>
      </c>
    </row>
    <row r="23" spans="1:44">
      <c r="AD23" s="3"/>
    </row>
    <row r="27" spans="1:44">
      <c r="J27" s="39" t="s">
        <v>137</v>
      </c>
      <c r="AE27" s="39" t="s">
        <v>138</v>
      </c>
    </row>
  </sheetData>
  <mergeCells count="23">
    <mergeCell ref="AQ7:AQ9"/>
    <mergeCell ref="AR7:AR9"/>
    <mergeCell ref="A1:D1"/>
    <mergeCell ref="A2:D2"/>
    <mergeCell ref="A4:AP4"/>
    <mergeCell ref="A5:AP5"/>
    <mergeCell ref="A7:A9"/>
    <mergeCell ref="B7:B9"/>
    <mergeCell ref="C7:E7"/>
    <mergeCell ref="F7:L7"/>
    <mergeCell ref="M7:S7"/>
    <mergeCell ref="T7:Z7"/>
    <mergeCell ref="AP10:AP11"/>
    <mergeCell ref="C8:E8"/>
    <mergeCell ref="AA7:AG7"/>
    <mergeCell ref="AH7:AN7"/>
    <mergeCell ref="AO7:AO9"/>
    <mergeCell ref="AP7:AP9"/>
    <mergeCell ref="B22:C22"/>
    <mergeCell ref="A10:A12"/>
    <mergeCell ref="B10:B11"/>
    <mergeCell ref="C10:C11"/>
    <mergeCell ref="D10:D12"/>
  </mergeCells>
  <printOptions horizontalCentered="1"/>
  <pageMargins left="0.24" right="0.18" top="0.49" bottom="0.35" header="0.28999999999999998" footer="0.31496062992126"/>
  <pageSetup paperSize="9" scale="79" orientation="landscape" r:id="rId1"/>
  <headerFooter differentFirst="1">
    <oddHeader>&amp;C&amp;P</oddHead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31"/>
  <sheetViews>
    <sheetView topLeftCell="A14" workbookViewId="0">
      <selection activeCell="B26" sqref="B26:C26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40" width="2.78515625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8" t="s">
        <v>179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31</v>
      </c>
      <c r="G8" s="10">
        <v>1</v>
      </c>
      <c r="H8" s="7">
        <v>2</v>
      </c>
      <c r="I8" s="10">
        <v>3</v>
      </c>
      <c r="J8" s="7">
        <v>4</v>
      </c>
      <c r="K8" s="10">
        <v>5</v>
      </c>
      <c r="L8" s="7">
        <v>6</v>
      </c>
      <c r="M8" s="10">
        <v>7</v>
      </c>
      <c r="N8" s="7">
        <v>8</v>
      </c>
      <c r="O8" s="10">
        <v>9</v>
      </c>
      <c r="P8" s="7">
        <v>10</v>
      </c>
      <c r="Q8" s="10">
        <v>11</v>
      </c>
      <c r="R8" s="7">
        <v>12</v>
      </c>
      <c r="S8" s="10">
        <v>13</v>
      </c>
      <c r="T8" s="7">
        <v>14</v>
      </c>
      <c r="U8" s="10">
        <v>15</v>
      </c>
      <c r="V8" s="7">
        <v>16</v>
      </c>
      <c r="W8" s="10">
        <v>17</v>
      </c>
      <c r="X8" s="7">
        <v>18</v>
      </c>
      <c r="Y8" s="10">
        <v>19</v>
      </c>
      <c r="Z8" s="7">
        <v>20</v>
      </c>
      <c r="AA8" s="10">
        <v>21</v>
      </c>
      <c r="AB8" s="7">
        <v>22</v>
      </c>
      <c r="AC8" s="10">
        <v>23</v>
      </c>
      <c r="AD8" s="7">
        <v>24</v>
      </c>
      <c r="AE8" s="10">
        <v>25</v>
      </c>
      <c r="AF8" s="7">
        <v>26</v>
      </c>
      <c r="AG8" s="10">
        <v>27</v>
      </c>
      <c r="AH8" s="7">
        <v>28</v>
      </c>
      <c r="AI8" s="10">
        <v>29</v>
      </c>
      <c r="AJ8" s="7">
        <v>30</v>
      </c>
      <c r="AK8" s="7">
        <v>1</v>
      </c>
      <c r="AL8" s="10">
        <v>2</v>
      </c>
      <c r="AM8" s="7">
        <v>3</v>
      </c>
      <c r="AN8" s="10">
        <v>4</v>
      </c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>
      <c r="A10" s="84" t="s">
        <v>103</v>
      </c>
      <c r="B10" s="77" t="s">
        <v>48</v>
      </c>
      <c r="C10" s="90" t="s">
        <v>152</v>
      </c>
      <c r="D10" s="84" t="s">
        <v>105</v>
      </c>
      <c r="E10" s="15" t="s">
        <v>45</v>
      </c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/>
      <c r="S10" s="17"/>
      <c r="T10" s="16"/>
      <c r="U10" s="16"/>
      <c r="V10" s="16"/>
      <c r="W10" s="16"/>
      <c r="X10" s="16"/>
      <c r="Y10" s="17">
        <v>4</v>
      </c>
      <c r="Z10" s="17"/>
      <c r="AA10" s="16"/>
      <c r="AB10" s="16"/>
      <c r="AC10" s="16"/>
      <c r="AD10" s="16"/>
      <c r="AE10" s="16"/>
      <c r="AF10" s="17">
        <v>4</v>
      </c>
      <c r="AG10" s="17"/>
      <c r="AH10" s="16"/>
      <c r="AI10" s="16"/>
      <c r="AJ10" s="16"/>
      <c r="AK10" s="16"/>
      <c r="AL10" s="16"/>
      <c r="AM10" s="17">
        <v>4</v>
      </c>
      <c r="AN10" s="17"/>
      <c r="AO10" s="16">
        <f t="shared" ref="AO10:AO15" si="0">SUM(F10:AN10)</f>
        <v>12</v>
      </c>
      <c r="AP10" s="106" t="s">
        <v>162</v>
      </c>
      <c r="AQ10">
        <v>90</v>
      </c>
      <c r="AR10" s="19">
        <f t="shared" ref="AR10:AR21" si="1">IF(AQ10="","",AQ10-(AQ10*$AS$9))</f>
        <v>72</v>
      </c>
    </row>
    <row r="11" spans="1:45">
      <c r="A11" s="82"/>
      <c r="B11" s="78"/>
      <c r="C11" s="80"/>
      <c r="D11" s="82"/>
      <c r="E11" s="15" t="s">
        <v>23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/>
      <c r="R11" s="17"/>
      <c r="S11" s="17"/>
      <c r="T11" s="16"/>
      <c r="U11" s="16"/>
      <c r="V11" s="16"/>
      <c r="W11" s="16"/>
      <c r="X11" s="16">
        <v>4</v>
      </c>
      <c r="Y11" s="17">
        <v>4</v>
      </c>
      <c r="Z11" s="17"/>
      <c r="AA11" s="16"/>
      <c r="AB11" s="16"/>
      <c r="AC11" s="16"/>
      <c r="AD11" s="16"/>
      <c r="AE11" s="16">
        <v>4</v>
      </c>
      <c r="AF11" s="17">
        <v>4</v>
      </c>
      <c r="AG11" s="17"/>
      <c r="AH11" s="16"/>
      <c r="AI11" s="16"/>
      <c r="AJ11" s="16"/>
      <c r="AK11" s="16"/>
      <c r="AL11" s="16">
        <v>4</v>
      </c>
      <c r="AM11" s="17">
        <v>4</v>
      </c>
      <c r="AN11" s="17"/>
      <c r="AO11" s="16">
        <f t="shared" si="0"/>
        <v>24</v>
      </c>
      <c r="AP11" s="89"/>
      <c r="AR11" s="19" t="str">
        <f t="shared" si="1"/>
        <v/>
      </c>
    </row>
    <row r="12" spans="1:45">
      <c r="A12" s="83"/>
      <c r="B12" s="22" t="s">
        <v>87</v>
      </c>
      <c r="C12" s="23" t="s">
        <v>28</v>
      </c>
      <c r="D12" s="83"/>
      <c r="E12" s="24" t="s">
        <v>30</v>
      </c>
      <c r="F12" s="25"/>
      <c r="G12" s="25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>
        <v>1</v>
      </c>
      <c r="Y12" s="17"/>
      <c r="Z12" s="17"/>
      <c r="AA12" s="16"/>
      <c r="AB12" s="16"/>
      <c r="AC12" s="16"/>
      <c r="AD12" s="16"/>
      <c r="AE12" s="16"/>
      <c r="AF12" s="17"/>
      <c r="AG12" s="17"/>
      <c r="AH12" s="16"/>
      <c r="AI12" s="16"/>
      <c r="AJ12" s="16"/>
      <c r="AK12" s="16"/>
      <c r="AL12" s="16">
        <v>1</v>
      </c>
      <c r="AM12" s="17"/>
      <c r="AN12" s="17"/>
      <c r="AO12" s="16">
        <f t="shared" si="0"/>
        <v>2</v>
      </c>
      <c r="AP12" s="16"/>
      <c r="AR12" s="19" t="str">
        <f t="shared" si="1"/>
        <v/>
      </c>
    </row>
    <row r="13" spans="1:45" ht="31">
      <c r="A13" s="91" t="s">
        <v>107</v>
      </c>
      <c r="B13" s="26" t="s">
        <v>42</v>
      </c>
      <c r="C13" s="27" t="s">
        <v>61</v>
      </c>
      <c r="D13" s="75" t="s">
        <v>108</v>
      </c>
      <c r="E13" s="28" t="s">
        <v>109</v>
      </c>
      <c r="F13" s="24"/>
      <c r="G13" s="24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>
        <v>4</v>
      </c>
      <c r="AF13" s="17">
        <v>4</v>
      </c>
      <c r="AG13" s="17"/>
      <c r="AH13" s="16"/>
      <c r="AI13" s="16"/>
      <c r="AJ13" s="16"/>
      <c r="AK13" s="16">
        <v>4</v>
      </c>
      <c r="AL13" s="16">
        <v>4</v>
      </c>
      <c r="AM13" s="17">
        <v>4</v>
      </c>
      <c r="AN13" s="17"/>
      <c r="AO13" s="16">
        <f t="shared" si="0"/>
        <v>20</v>
      </c>
      <c r="AP13" s="51" t="s">
        <v>99</v>
      </c>
      <c r="AQ13">
        <v>30</v>
      </c>
      <c r="AR13" s="19">
        <f t="shared" si="1"/>
        <v>24</v>
      </c>
    </row>
    <row r="14" spans="1:45" ht="46.5">
      <c r="A14" s="91"/>
      <c r="B14" s="26" t="s">
        <v>63</v>
      </c>
      <c r="C14" s="27" t="s">
        <v>110</v>
      </c>
      <c r="D14" s="75"/>
      <c r="E14" s="28" t="s">
        <v>109</v>
      </c>
      <c r="F14" s="24"/>
      <c r="G14" s="24"/>
      <c r="H14" s="16"/>
      <c r="I14" s="16"/>
      <c r="J14" s="16"/>
      <c r="K14" s="17"/>
      <c r="L14" s="17"/>
      <c r="M14" s="16"/>
      <c r="N14" s="16"/>
      <c r="O14" s="16"/>
      <c r="P14" s="16">
        <v>4</v>
      </c>
      <c r="Q14" s="16">
        <v>4</v>
      </c>
      <c r="R14" s="17">
        <v>4</v>
      </c>
      <c r="S14" s="17"/>
      <c r="T14" s="16"/>
      <c r="U14" s="16"/>
      <c r="V14" s="16"/>
      <c r="W14" s="16">
        <v>4</v>
      </c>
      <c r="X14" s="16">
        <v>4</v>
      </c>
      <c r="Y14" s="17">
        <v>4</v>
      </c>
      <c r="Z14" s="17"/>
      <c r="AA14" s="16"/>
      <c r="AB14" s="16"/>
      <c r="AC14" s="16"/>
      <c r="AD14" s="16">
        <v>4</v>
      </c>
      <c r="AE14" s="16"/>
      <c r="AF14" s="17"/>
      <c r="AG14" s="17"/>
      <c r="AH14" s="16"/>
      <c r="AI14" s="16"/>
      <c r="AJ14" s="16"/>
      <c r="AK14" s="16"/>
      <c r="AL14" s="16"/>
      <c r="AM14" s="17"/>
      <c r="AN14" s="17"/>
      <c r="AO14" s="16">
        <f t="shared" si="0"/>
        <v>28</v>
      </c>
      <c r="AP14" s="51" t="s">
        <v>19</v>
      </c>
      <c r="AQ14">
        <v>45</v>
      </c>
      <c r="AR14" s="19">
        <f t="shared" si="1"/>
        <v>36</v>
      </c>
    </row>
    <row r="15" spans="1:45">
      <c r="A15" s="91"/>
      <c r="B15" s="26" t="s">
        <v>63</v>
      </c>
      <c r="C15" s="26" t="s">
        <v>28</v>
      </c>
      <c r="D15" s="75"/>
      <c r="E15" s="24" t="s">
        <v>112</v>
      </c>
      <c r="F15" s="24"/>
      <c r="G15" s="24"/>
      <c r="H15" s="16"/>
      <c r="I15" s="16"/>
      <c r="J15" s="16"/>
      <c r="K15" s="17"/>
      <c r="L15" s="17"/>
      <c r="M15" s="16"/>
      <c r="N15" s="16"/>
      <c r="O15" s="16"/>
      <c r="P15" s="16">
        <v>1</v>
      </c>
      <c r="Q15" s="16"/>
      <c r="R15" s="17"/>
      <c r="S15" s="17"/>
      <c r="T15" s="16"/>
      <c r="U15" s="16"/>
      <c r="V15" s="16"/>
      <c r="W15" s="16"/>
      <c r="X15" s="16"/>
      <c r="Y15" s="17"/>
      <c r="Z15" s="17"/>
      <c r="AA15" s="16"/>
      <c r="AB15" s="16"/>
      <c r="AC15" s="16"/>
      <c r="AD15" s="16">
        <v>1</v>
      </c>
      <c r="AE15" s="16"/>
      <c r="AF15" s="17"/>
      <c r="AG15" s="17"/>
      <c r="AH15" s="16"/>
      <c r="AI15" s="16"/>
      <c r="AJ15" s="16"/>
      <c r="AK15" s="16"/>
      <c r="AL15" s="16"/>
      <c r="AM15" s="17"/>
      <c r="AN15" s="17"/>
      <c r="AO15" s="16">
        <f t="shared" si="0"/>
        <v>2</v>
      </c>
      <c r="AP15" s="16"/>
      <c r="AR15" s="19" t="str">
        <f t="shared" si="1"/>
        <v/>
      </c>
    </row>
    <row r="16" spans="1:45">
      <c r="A16" s="131" t="s">
        <v>180</v>
      </c>
      <c r="B16" s="116" t="s">
        <v>24</v>
      </c>
      <c r="C16" s="115" t="s">
        <v>25</v>
      </c>
      <c r="D16" s="111" t="s">
        <v>181</v>
      </c>
      <c r="E16" s="15" t="s">
        <v>182</v>
      </c>
      <c r="F16" s="15"/>
      <c r="G16" s="15"/>
      <c r="H16" s="15"/>
      <c r="I16" s="15"/>
      <c r="J16" s="15"/>
      <c r="K16" s="30"/>
      <c r="L16" s="30"/>
      <c r="M16" s="15"/>
      <c r="N16" s="15"/>
      <c r="O16" s="15"/>
      <c r="P16" s="15"/>
      <c r="Q16" s="15"/>
      <c r="R16" s="30"/>
      <c r="S16" s="30"/>
      <c r="T16" s="15"/>
      <c r="U16" s="15"/>
      <c r="V16" s="15"/>
      <c r="W16" s="15"/>
      <c r="X16" s="15"/>
      <c r="Y16" s="30">
        <v>4</v>
      </c>
      <c r="Z16" s="30"/>
      <c r="AA16" s="15"/>
      <c r="AB16" s="15"/>
      <c r="AC16" s="15"/>
      <c r="AD16" s="15"/>
      <c r="AE16" s="15"/>
      <c r="AF16" s="30">
        <v>4</v>
      </c>
      <c r="AG16" s="30"/>
      <c r="AH16" s="15"/>
      <c r="AI16" s="15"/>
      <c r="AJ16" s="15"/>
      <c r="AK16" s="15"/>
      <c r="AL16" s="15"/>
      <c r="AM16" s="30"/>
      <c r="AN16" s="30"/>
      <c r="AO16" s="128">
        <v>24</v>
      </c>
      <c r="AP16" s="129" t="s">
        <v>66</v>
      </c>
      <c r="AR16" s="19" t="str">
        <f t="shared" si="1"/>
        <v/>
      </c>
    </row>
    <row r="17" spans="1:44">
      <c r="A17" s="131"/>
      <c r="B17" s="116"/>
      <c r="C17" s="115"/>
      <c r="D17" s="111"/>
      <c r="E17" s="15" t="s">
        <v>177</v>
      </c>
      <c r="F17" s="15"/>
      <c r="G17" s="15"/>
      <c r="H17" s="15"/>
      <c r="I17" s="15"/>
      <c r="J17" s="15"/>
      <c r="K17" s="30"/>
      <c r="L17" s="30"/>
      <c r="M17" s="15"/>
      <c r="N17" s="15"/>
      <c r="O17" s="15"/>
      <c r="P17" s="15"/>
      <c r="Q17" s="15"/>
      <c r="R17" s="30"/>
      <c r="S17" s="30"/>
      <c r="T17" s="15"/>
      <c r="U17" s="15"/>
      <c r="V17" s="15"/>
      <c r="W17" s="15"/>
      <c r="X17" s="15">
        <v>4</v>
      </c>
      <c r="Y17" s="30">
        <v>4</v>
      </c>
      <c r="Z17" s="30"/>
      <c r="AA17" s="15"/>
      <c r="AB17" s="15"/>
      <c r="AC17" s="15"/>
      <c r="AD17" s="15"/>
      <c r="AE17" s="15">
        <v>4</v>
      </c>
      <c r="AF17" s="30">
        <v>4</v>
      </c>
      <c r="AG17" s="30"/>
      <c r="AH17" s="15"/>
      <c r="AI17" s="15"/>
      <c r="AJ17" s="15"/>
      <c r="AK17" s="15"/>
      <c r="AL17" s="15"/>
      <c r="AM17" s="30"/>
      <c r="AN17" s="30"/>
      <c r="AO17" s="128"/>
      <c r="AP17" s="128"/>
      <c r="AR17" s="19"/>
    </row>
    <row r="18" spans="1:44">
      <c r="A18" s="131"/>
      <c r="B18" s="116" t="s">
        <v>184</v>
      </c>
      <c r="C18" s="116" t="s">
        <v>183</v>
      </c>
      <c r="D18" s="111"/>
      <c r="E18" s="15" t="s">
        <v>182</v>
      </c>
      <c r="F18" s="15"/>
      <c r="G18" s="15"/>
      <c r="H18" s="15"/>
      <c r="I18" s="15"/>
      <c r="J18" s="15"/>
      <c r="K18" s="30"/>
      <c r="L18" s="30"/>
      <c r="M18" s="15"/>
      <c r="N18" s="15"/>
      <c r="O18" s="15"/>
      <c r="P18" s="15"/>
      <c r="Q18" s="15"/>
      <c r="R18" s="30"/>
      <c r="S18" s="30"/>
      <c r="T18" s="15"/>
      <c r="U18" s="15"/>
      <c r="V18" s="15"/>
      <c r="W18" s="15"/>
      <c r="X18" s="15"/>
      <c r="Y18" s="30"/>
      <c r="Z18" s="30"/>
      <c r="AA18" s="15"/>
      <c r="AB18" s="15"/>
      <c r="AC18" s="15"/>
      <c r="AD18" s="15"/>
      <c r="AE18" s="15"/>
      <c r="AF18" s="30"/>
      <c r="AG18" s="30"/>
      <c r="AH18" s="15"/>
      <c r="AI18" s="15"/>
      <c r="AJ18" s="15"/>
      <c r="AK18" s="15"/>
      <c r="AL18" s="15"/>
      <c r="AM18" s="30">
        <v>4</v>
      </c>
      <c r="AN18" s="30"/>
      <c r="AO18" s="128">
        <v>12</v>
      </c>
      <c r="AP18" s="130" t="s">
        <v>185</v>
      </c>
      <c r="AR18" s="19"/>
    </row>
    <row r="19" spans="1:44">
      <c r="A19" s="114"/>
      <c r="B19" s="116"/>
      <c r="C19" s="116"/>
      <c r="D19" s="111"/>
      <c r="E19" s="15" t="s">
        <v>177</v>
      </c>
      <c r="F19" s="15"/>
      <c r="G19" s="15"/>
      <c r="H19" s="15"/>
      <c r="I19" s="15"/>
      <c r="J19" s="15"/>
      <c r="K19" s="30"/>
      <c r="L19" s="30"/>
      <c r="M19" s="15"/>
      <c r="N19" s="15"/>
      <c r="O19" s="15"/>
      <c r="P19" s="15"/>
      <c r="Q19" s="15"/>
      <c r="R19" s="30"/>
      <c r="S19" s="30"/>
      <c r="T19" s="15"/>
      <c r="U19" s="15"/>
      <c r="V19" s="15"/>
      <c r="W19" s="15"/>
      <c r="X19" s="15"/>
      <c r="Y19" s="30"/>
      <c r="Z19" s="30"/>
      <c r="AA19" s="15"/>
      <c r="AB19" s="15"/>
      <c r="AC19" s="15"/>
      <c r="AD19" s="15"/>
      <c r="AE19" s="15"/>
      <c r="AF19" s="30"/>
      <c r="AG19" s="30"/>
      <c r="AH19" s="15"/>
      <c r="AI19" s="15"/>
      <c r="AJ19" s="15"/>
      <c r="AK19" s="15"/>
      <c r="AL19" s="15">
        <v>4</v>
      </c>
      <c r="AM19" s="30">
        <v>4</v>
      </c>
      <c r="AN19" s="30"/>
      <c r="AO19" s="128"/>
      <c r="AP19" s="128"/>
      <c r="AR19" s="19"/>
    </row>
    <row r="20" spans="1:44">
      <c r="A20" s="9"/>
      <c r="B20" s="31"/>
      <c r="C20" s="32"/>
      <c r="D20" s="9"/>
      <c r="E20" s="33"/>
      <c r="F20" s="34"/>
      <c r="G20" s="34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R20" s="19" t="str">
        <f t="shared" si="1"/>
        <v/>
      </c>
    </row>
    <row r="21" spans="1:44" hidden="1">
      <c r="A21" s="9"/>
      <c r="B21" s="31"/>
      <c r="C21" s="32"/>
      <c r="D21" s="9"/>
      <c r="E21" s="33"/>
      <c r="F21" s="34"/>
      <c r="G21" s="34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R21" s="19" t="str">
        <f t="shared" si="1"/>
        <v/>
      </c>
    </row>
    <row r="22" spans="1:44" hidden="1">
      <c r="A22" s="35"/>
      <c r="B22" s="2"/>
      <c r="C22" s="2"/>
      <c r="D22" s="19"/>
      <c r="E22" s="33"/>
      <c r="F22" s="33"/>
      <c r="G22" s="33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R22" s="19"/>
    </row>
    <row r="23" spans="1:44" hidden="1">
      <c r="A23" s="9"/>
      <c r="B23" s="36"/>
      <c r="C23" s="2"/>
      <c r="D23" s="19"/>
      <c r="E23" s="33"/>
      <c r="F23" s="33"/>
      <c r="G23" s="3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R23" s="19"/>
    </row>
    <row r="24" spans="1:44" hidden="1">
      <c r="A24" s="2"/>
      <c r="B24" s="3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R24" s="19" t="str">
        <f t="shared" ref="AR24" si="2">IF(AQ24="","",AQ24-(AQ24*$AS$9))</f>
        <v/>
      </c>
    </row>
    <row r="25" spans="1:44">
      <c r="AD25" s="38" t="s">
        <v>169</v>
      </c>
    </row>
    <row r="26" spans="1:44" s="3" customFormat="1" ht="18" customHeight="1">
      <c r="B26" s="95" t="s">
        <v>134</v>
      </c>
      <c r="C26" s="95"/>
      <c r="J26" s="6" t="s">
        <v>135</v>
      </c>
      <c r="AE26" s="6" t="s">
        <v>136</v>
      </c>
    </row>
    <row r="27" spans="1:44">
      <c r="AD27" s="3"/>
    </row>
    <row r="31" spans="1:44">
      <c r="J31" s="39" t="s">
        <v>137</v>
      </c>
      <c r="AE31" s="39" t="s">
        <v>138</v>
      </c>
    </row>
  </sheetData>
  <mergeCells count="35">
    <mergeCell ref="A1:D1"/>
    <mergeCell ref="A2:D2"/>
    <mergeCell ref="A4:AP4"/>
    <mergeCell ref="A5:AP5"/>
    <mergeCell ref="C7:E7"/>
    <mergeCell ref="F7:L7"/>
    <mergeCell ref="M7:S7"/>
    <mergeCell ref="T7:Z7"/>
    <mergeCell ref="AA7:AG7"/>
    <mergeCell ref="AH7:AN7"/>
    <mergeCell ref="AO7:AO9"/>
    <mergeCell ref="C8:E8"/>
    <mergeCell ref="B26:C26"/>
    <mergeCell ref="A7:A9"/>
    <mergeCell ref="A10:A12"/>
    <mergeCell ref="A13:A15"/>
    <mergeCell ref="A16:A19"/>
    <mergeCell ref="B7:B9"/>
    <mergeCell ref="B10:B11"/>
    <mergeCell ref="C16:C17"/>
    <mergeCell ref="C18:C19"/>
    <mergeCell ref="C10:C11"/>
    <mergeCell ref="B16:B17"/>
    <mergeCell ref="B18:B19"/>
    <mergeCell ref="D10:D12"/>
    <mergeCell ref="D13:D15"/>
    <mergeCell ref="D16:D19"/>
    <mergeCell ref="AQ7:AQ9"/>
    <mergeCell ref="AR7:AR9"/>
    <mergeCell ref="AO16:AO17"/>
    <mergeCell ref="AO18:AO19"/>
    <mergeCell ref="AP7:AP9"/>
    <mergeCell ref="AP10:AP11"/>
    <mergeCell ref="AP16:AP17"/>
    <mergeCell ref="AP18:AP19"/>
  </mergeCells>
  <printOptions horizontalCentered="1"/>
  <pageMargins left="0.24" right="0.18" top="0.49" bottom="0.35" header="0.28999999999999998" footer="0.31496062992126"/>
  <pageSetup paperSize="9" scale="69" orientation="landscape"/>
  <headerFooter differentFirst="1">
    <oddHeader>&amp;C&amp;P</oddHeader>
  </headerFooter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6C24-F357-4A69-A5E4-79B863844C42}">
  <dimension ref="A1:AS36"/>
  <sheetViews>
    <sheetView topLeftCell="A10" workbookViewId="0">
      <selection activeCell="J34" sqref="J34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9" t="s">
        <v>179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186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5</v>
      </c>
      <c r="G8" s="10">
        <v>6</v>
      </c>
      <c r="H8" s="7">
        <v>7</v>
      </c>
      <c r="I8" s="10">
        <v>8</v>
      </c>
      <c r="J8" s="7">
        <v>9</v>
      </c>
      <c r="K8" s="10">
        <v>10</v>
      </c>
      <c r="L8" s="7">
        <v>11</v>
      </c>
      <c r="M8" s="10">
        <v>12</v>
      </c>
      <c r="N8" s="7">
        <v>13</v>
      </c>
      <c r="O8" s="10">
        <v>14</v>
      </c>
      <c r="P8" s="7">
        <v>15</v>
      </c>
      <c r="Q8" s="10">
        <v>16</v>
      </c>
      <c r="R8" s="7">
        <v>17</v>
      </c>
      <c r="S8" s="10">
        <v>18</v>
      </c>
      <c r="T8" s="7">
        <v>19</v>
      </c>
      <c r="U8" s="10">
        <v>20</v>
      </c>
      <c r="V8" s="7">
        <v>21</v>
      </c>
      <c r="W8" s="10">
        <v>22</v>
      </c>
      <c r="X8" s="7">
        <v>23</v>
      </c>
      <c r="Y8" s="10">
        <v>24</v>
      </c>
      <c r="Z8" s="7">
        <v>25</v>
      </c>
      <c r="AA8" s="10">
        <v>26</v>
      </c>
      <c r="AB8" s="7">
        <v>27</v>
      </c>
      <c r="AC8" s="10">
        <v>28</v>
      </c>
      <c r="AD8" s="7">
        <v>29</v>
      </c>
      <c r="AE8" s="10">
        <v>30</v>
      </c>
      <c r="AF8" s="7">
        <v>31</v>
      </c>
      <c r="AG8" s="10">
        <v>1</v>
      </c>
      <c r="AH8" s="7"/>
      <c r="AI8" s="10"/>
      <c r="AJ8" s="7"/>
      <c r="AK8" s="10"/>
      <c r="AL8" s="7"/>
      <c r="AM8" s="10"/>
      <c r="AN8" s="7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>
      <c r="A10" s="84" t="s">
        <v>103</v>
      </c>
      <c r="B10" s="77" t="s">
        <v>48</v>
      </c>
      <c r="C10" s="90" t="s">
        <v>152</v>
      </c>
      <c r="D10" s="84" t="s">
        <v>105</v>
      </c>
      <c r="E10" s="15" t="s">
        <v>45</v>
      </c>
      <c r="F10" s="15"/>
      <c r="G10" s="15"/>
      <c r="H10" s="16"/>
      <c r="I10" s="16"/>
      <c r="J10" s="16"/>
      <c r="K10" s="17"/>
      <c r="L10" s="17"/>
      <c r="M10" s="16"/>
      <c r="N10" s="16"/>
      <c r="O10" s="16"/>
      <c r="P10" s="16"/>
      <c r="Q10" s="16"/>
      <c r="R10" s="17">
        <v>4</v>
      </c>
      <c r="S10" s="17"/>
      <c r="T10" s="16"/>
      <c r="U10" s="16"/>
      <c r="V10" s="16"/>
      <c r="W10" s="16"/>
      <c r="X10" s="16"/>
      <c r="Y10" s="17">
        <v>4</v>
      </c>
      <c r="Z10" s="17"/>
      <c r="AA10" s="16"/>
      <c r="AB10" s="16"/>
      <c r="AC10" s="16"/>
      <c r="AD10" s="16"/>
      <c r="AE10" s="16"/>
      <c r="AF10" s="17">
        <v>4</v>
      </c>
      <c r="AG10" s="17"/>
      <c r="AH10" s="16"/>
      <c r="AI10" s="16"/>
      <c r="AJ10" s="16"/>
      <c r="AK10" s="16"/>
      <c r="AL10" s="16"/>
      <c r="AM10" s="17"/>
      <c r="AN10" s="17"/>
      <c r="AO10" s="16">
        <f t="shared" ref="AO10:AO21" si="0">SUM(F10:AN10)</f>
        <v>12</v>
      </c>
      <c r="AP10" s="85" t="s">
        <v>194</v>
      </c>
      <c r="AQ10" s="45">
        <v>90</v>
      </c>
      <c r="AR10" s="19">
        <f t="shared" ref="AR10:AR21" si="1">IF(AQ10="","",AQ10-(AQ10*$AS$9))</f>
        <v>72</v>
      </c>
    </row>
    <row r="11" spans="1:45">
      <c r="A11" s="82"/>
      <c r="B11" s="78"/>
      <c r="C11" s="80"/>
      <c r="D11" s="82"/>
      <c r="E11" s="15" t="s">
        <v>23</v>
      </c>
      <c r="F11" s="15"/>
      <c r="G11" s="15"/>
      <c r="H11" s="16"/>
      <c r="I11" s="16"/>
      <c r="J11" s="16"/>
      <c r="K11" s="17"/>
      <c r="L11" s="17"/>
      <c r="M11" s="16"/>
      <c r="N11" s="16"/>
      <c r="O11" s="16"/>
      <c r="P11" s="16"/>
      <c r="Q11" s="16">
        <v>4</v>
      </c>
      <c r="R11" s="17">
        <v>4</v>
      </c>
      <c r="S11" s="17"/>
      <c r="T11" s="16"/>
      <c r="U11" s="16"/>
      <c r="V11" s="16"/>
      <c r="W11" s="16"/>
      <c r="X11" s="16">
        <v>4</v>
      </c>
      <c r="Y11" s="17">
        <v>4</v>
      </c>
      <c r="Z11" s="17"/>
      <c r="AA11" s="16"/>
      <c r="AB11" s="16"/>
      <c r="AC11" s="16"/>
      <c r="AD11" s="16"/>
      <c r="AE11" s="16">
        <v>4</v>
      </c>
      <c r="AF11" s="17">
        <v>4</v>
      </c>
      <c r="AG11" s="17"/>
      <c r="AH11" s="16"/>
      <c r="AI11" s="16"/>
      <c r="AJ11" s="16"/>
      <c r="AK11" s="16"/>
      <c r="AL11" s="16"/>
      <c r="AM11" s="17"/>
      <c r="AN11" s="17"/>
      <c r="AO11" s="16">
        <f t="shared" si="0"/>
        <v>24</v>
      </c>
      <c r="AP11" s="89"/>
      <c r="AQ11" s="45"/>
      <c r="AR11" s="19" t="str">
        <f t="shared" si="1"/>
        <v/>
      </c>
    </row>
    <row r="12" spans="1:45">
      <c r="A12" s="83"/>
      <c r="B12" s="22" t="s">
        <v>87</v>
      </c>
      <c r="C12" s="23" t="s">
        <v>28</v>
      </c>
      <c r="D12" s="83"/>
      <c r="E12" s="24" t="s">
        <v>30</v>
      </c>
      <c r="F12" s="25"/>
      <c r="G12" s="25"/>
      <c r="H12" s="16"/>
      <c r="I12" s="16"/>
      <c r="J12" s="16"/>
      <c r="K12" s="17"/>
      <c r="L12" s="17"/>
      <c r="M12" s="16"/>
      <c r="N12" s="16"/>
      <c r="O12" s="16"/>
      <c r="P12" s="16"/>
      <c r="Q12" s="16">
        <v>1</v>
      </c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>
        <v>1</v>
      </c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0"/>
        <v>2</v>
      </c>
      <c r="AP12" s="16"/>
      <c r="AQ12" s="45"/>
      <c r="AR12" s="19" t="str">
        <f t="shared" si="1"/>
        <v/>
      </c>
    </row>
    <row r="13" spans="1:45" ht="31" customHeight="1">
      <c r="A13" s="91" t="s">
        <v>107</v>
      </c>
      <c r="B13" s="26" t="s">
        <v>42</v>
      </c>
      <c r="C13" s="27" t="s">
        <v>61</v>
      </c>
      <c r="D13" s="84" t="s">
        <v>108</v>
      </c>
      <c r="E13" s="28" t="s">
        <v>109</v>
      </c>
      <c r="F13" s="24"/>
      <c r="G13" s="24"/>
      <c r="H13" s="16">
        <v>4</v>
      </c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7"/>
      <c r="AG13" s="17"/>
      <c r="AH13" s="16"/>
      <c r="AI13" s="16"/>
      <c r="AJ13" s="16"/>
      <c r="AK13" s="16"/>
      <c r="AL13" s="16"/>
      <c r="AM13" s="17"/>
      <c r="AN13" s="17"/>
      <c r="AO13" s="16">
        <f t="shared" si="0"/>
        <v>4</v>
      </c>
      <c r="AP13" s="56" t="s">
        <v>66</v>
      </c>
      <c r="AQ13" s="45">
        <v>30</v>
      </c>
      <c r="AR13" s="19">
        <f t="shared" si="1"/>
        <v>24</v>
      </c>
    </row>
    <row r="14" spans="1:45" ht="31" customHeight="1">
      <c r="A14" s="91"/>
      <c r="B14" s="26" t="s">
        <v>48</v>
      </c>
      <c r="C14" s="27" t="s">
        <v>195</v>
      </c>
      <c r="D14" s="82"/>
      <c r="E14" s="28" t="s">
        <v>109</v>
      </c>
      <c r="F14" s="24"/>
      <c r="G14" s="24"/>
      <c r="H14" s="16"/>
      <c r="I14" s="16"/>
      <c r="J14" s="16"/>
      <c r="K14" s="17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/>
      <c r="Z14" s="17"/>
      <c r="AA14" s="16"/>
      <c r="AB14" s="16"/>
      <c r="AC14" s="16"/>
      <c r="AD14" s="16">
        <v>4</v>
      </c>
      <c r="AE14" s="16"/>
      <c r="AF14" s="17"/>
      <c r="AG14" s="17"/>
      <c r="AH14" s="16"/>
      <c r="AI14" s="16"/>
      <c r="AJ14" s="16"/>
      <c r="AK14" s="16"/>
      <c r="AL14" s="16"/>
      <c r="AM14" s="17"/>
      <c r="AN14" s="17"/>
      <c r="AO14" s="16">
        <f t="shared" si="0"/>
        <v>4</v>
      </c>
      <c r="AP14" s="56" t="s">
        <v>196</v>
      </c>
      <c r="AQ14" s="45">
        <v>15</v>
      </c>
      <c r="AR14" s="19">
        <f t="shared" si="1"/>
        <v>12</v>
      </c>
    </row>
    <row r="15" spans="1:45" ht="31">
      <c r="A15" s="91"/>
      <c r="B15" s="59" t="s">
        <v>117</v>
      </c>
      <c r="C15" s="60" t="s">
        <v>118</v>
      </c>
      <c r="D15" s="83"/>
      <c r="E15" s="28" t="s">
        <v>109</v>
      </c>
      <c r="F15" s="24"/>
      <c r="G15" s="24"/>
      <c r="H15" s="16"/>
      <c r="I15" s="16">
        <v>4</v>
      </c>
      <c r="J15" s="16"/>
      <c r="K15" s="17"/>
      <c r="L15" s="17"/>
      <c r="M15" s="16"/>
      <c r="N15" s="16"/>
      <c r="O15" s="16">
        <v>4</v>
      </c>
      <c r="P15" s="16">
        <v>4</v>
      </c>
      <c r="Q15" s="16"/>
      <c r="R15" s="17"/>
      <c r="S15" s="17"/>
      <c r="T15" s="16"/>
      <c r="U15" s="16"/>
      <c r="V15" s="16">
        <v>4</v>
      </c>
      <c r="W15" s="16">
        <v>4</v>
      </c>
      <c r="X15" s="16"/>
      <c r="Y15" s="17"/>
      <c r="Z15" s="17"/>
      <c r="AA15" s="16"/>
      <c r="AB15" s="16"/>
      <c r="AC15" s="16">
        <v>4</v>
      </c>
      <c r="AD15" s="16"/>
      <c r="AE15" s="16"/>
      <c r="AF15" s="17"/>
      <c r="AG15" s="17"/>
      <c r="AH15" s="16"/>
      <c r="AI15" s="16"/>
      <c r="AJ15" s="16"/>
      <c r="AK15" s="16"/>
      <c r="AL15" s="16"/>
      <c r="AM15" s="17"/>
      <c r="AN15" s="17"/>
      <c r="AO15" s="16">
        <f t="shared" si="0"/>
        <v>24</v>
      </c>
      <c r="AP15" s="56" t="s">
        <v>66</v>
      </c>
      <c r="AQ15" s="45">
        <v>30</v>
      </c>
      <c r="AR15" s="19">
        <f t="shared" si="1"/>
        <v>24</v>
      </c>
    </row>
    <row r="16" spans="1:45">
      <c r="A16" s="91"/>
      <c r="B16" s="77" t="s">
        <v>63</v>
      </c>
      <c r="C16" s="79" t="s">
        <v>67</v>
      </c>
      <c r="D16" s="81" t="s">
        <v>105</v>
      </c>
      <c r="E16" s="15" t="s">
        <v>45</v>
      </c>
      <c r="F16" s="24"/>
      <c r="G16" s="24"/>
      <c r="H16" s="16"/>
      <c r="I16" s="16"/>
      <c r="J16" s="16"/>
      <c r="K16" s="17"/>
      <c r="L16" s="17"/>
      <c r="M16" s="16"/>
      <c r="N16" s="16"/>
      <c r="O16" s="16"/>
      <c r="P16" s="16"/>
      <c r="Q16" s="16"/>
      <c r="R16" s="17">
        <v>4</v>
      </c>
      <c r="S16" s="17">
        <v>4</v>
      </c>
      <c r="T16" s="16"/>
      <c r="U16" s="16"/>
      <c r="V16" s="16"/>
      <c r="W16" s="16"/>
      <c r="X16" s="16"/>
      <c r="Y16" s="17">
        <v>4</v>
      </c>
      <c r="Z16" s="17">
        <v>4</v>
      </c>
      <c r="AA16" s="16"/>
      <c r="AB16" s="16"/>
      <c r="AC16" s="16"/>
      <c r="AD16" s="16"/>
      <c r="AE16" s="16"/>
      <c r="AF16" s="17">
        <v>4</v>
      </c>
      <c r="AG16" s="17">
        <v>4</v>
      </c>
      <c r="AH16" s="16"/>
      <c r="AI16" s="16"/>
      <c r="AJ16" s="16"/>
      <c r="AK16" s="16"/>
      <c r="AL16" s="16"/>
      <c r="AM16" s="17"/>
      <c r="AN16" s="17"/>
      <c r="AO16" s="16">
        <f t="shared" si="0"/>
        <v>24</v>
      </c>
      <c r="AP16" s="85" t="s">
        <v>60</v>
      </c>
      <c r="AQ16" s="45">
        <v>60</v>
      </c>
      <c r="AR16" s="19">
        <f t="shared" si="1"/>
        <v>48</v>
      </c>
    </row>
    <row r="17" spans="1:44">
      <c r="A17" s="91"/>
      <c r="B17" s="78"/>
      <c r="C17" s="80"/>
      <c r="D17" s="82"/>
      <c r="E17" s="15" t="s">
        <v>23</v>
      </c>
      <c r="F17" s="24"/>
      <c r="G17" s="24"/>
      <c r="H17" s="16"/>
      <c r="I17" s="16"/>
      <c r="J17" s="16"/>
      <c r="K17" s="17"/>
      <c r="L17" s="17"/>
      <c r="M17" s="16"/>
      <c r="N17" s="16"/>
      <c r="O17" s="16"/>
      <c r="P17" s="16"/>
      <c r="Q17" s="16"/>
      <c r="R17" s="17">
        <v>4</v>
      </c>
      <c r="S17" s="17">
        <v>4</v>
      </c>
      <c r="T17" s="16"/>
      <c r="U17" s="16"/>
      <c r="V17" s="16"/>
      <c r="W17" s="16"/>
      <c r="X17" s="16"/>
      <c r="Y17" s="17">
        <v>4</v>
      </c>
      <c r="Z17" s="17">
        <v>4</v>
      </c>
      <c r="AA17" s="16"/>
      <c r="AB17" s="16"/>
      <c r="AC17" s="16"/>
      <c r="AD17" s="16"/>
      <c r="AE17" s="16"/>
      <c r="AF17" s="17">
        <v>4</v>
      </c>
      <c r="AG17" s="17">
        <v>4</v>
      </c>
      <c r="AH17" s="16"/>
      <c r="AI17" s="16"/>
      <c r="AJ17" s="16"/>
      <c r="AK17" s="16"/>
      <c r="AL17" s="16"/>
      <c r="AM17" s="17"/>
      <c r="AN17" s="17"/>
      <c r="AO17" s="16">
        <f t="shared" si="0"/>
        <v>24</v>
      </c>
      <c r="AP17" s="86"/>
      <c r="AQ17" s="45"/>
      <c r="AR17" s="19"/>
    </row>
    <row r="18" spans="1:44">
      <c r="A18" s="91"/>
      <c r="B18" s="26" t="s">
        <v>63</v>
      </c>
      <c r="C18" s="26" t="s">
        <v>28</v>
      </c>
      <c r="D18" s="83"/>
      <c r="E18" s="24" t="s">
        <v>30</v>
      </c>
      <c r="F18" s="24"/>
      <c r="G18" s="24"/>
      <c r="H18" s="16"/>
      <c r="I18" s="16"/>
      <c r="J18" s="16"/>
      <c r="K18" s="17"/>
      <c r="L18" s="17"/>
      <c r="M18" s="16"/>
      <c r="N18" s="16"/>
      <c r="O18" s="16"/>
      <c r="P18" s="16"/>
      <c r="Q18" s="16"/>
      <c r="R18" s="17">
        <v>1</v>
      </c>
      <c r="S18" s="17"/>
      <c r="T18" s="16"/>
      <c r="U18" s="16"/>
      <c r="V18" s="16"/>
      <c r="W18" s="16"/>
      <c r="X18" s="16"/>
      <c r="Y18" s="17"/>
      <c r="Z18" s="17"/>
      <c r="AA18" s="16"/>
      <c r="AB18" s="16"/>
      <c r="AC18" s="16"/>
      <c r="AD18" s="16"/>
      <c r="AE18" s="16"/>
      <c r="AF18" s="17">
        <v>1</v>
      </c>
      <c r="AG18" s="17"/>
      <c r="AH18" s="16"/>
      <c r="AI18" s="16"/>
      <c r="AJ18" s="16"/>
      <c r="AK18" s="16"/>
      <c r="AL18" s="16"/>
      <c r="AM18" s="17"/>
      <c r="AN18" s="17"/>
      <c r="AO18" s="16">
        <f t="shared" si="0"/>
        <v>2</v>
      </c>
      <c r="AP18" s="16"/>
      <c r="AQ18" s="45"/>
      <c r="AR18" s="19" t="str">
        <f t="shared" si="1"/>
        <v/>
      </c>
    </row>
    <row r="19" spans="1:44">
      <c r="A19" s="91" t="s">
        <v>202</v>
      </c>
      <c r="B19" s="100" t="s">
        <v>55</v>
      </c>
      <c r="C19" s="101" t="s">
        <v>115</v>
      </c>
      <c r="D19" s="75" t="s">
        <v>203</v>
      </c>
      <c r="E19" s="15" t="s">
        <v>45</v>
      </c>
      <c r="F19" s="25"/>
      <c r="G19" s="24"/>
      <c r="H19" s="16"/>
      <c r="I19" s="16"/>
      <c r="J19" s="16"/>
      <c r="K19" s="55"/>
      <c r="L19" s="17"/>
      <c r="M19" s="16"/>
      <c r="N19" s="16"/>
      <c r="O19" s="16"/>
      <c r="P19" s="16"/>
      <c r="Q19" s="16"/>
      <c r="R19" s="17">
        <v>4</v>
      </c>
      <c r="S19" s="17"/>
      <c r="T19" s="16"/>
      <c r="U19" s="16"/>
      <c r="V19" s="16"/>
      <c r="W19" s="16"/>
      <c r="X19" s="16"/>
      <c r="Y19" s="17">
        <v>4</v>
      </c>
      <c r="Z19" s="17"/>
      <c r="AA19" s="16"/>
      <c r="AB19" s="16"/>
      <c r="AC19" s="16"/>
      <c r="AD19" s="16"/>
      <c r="AE19" s="16"/>
      <c r="AF19" s="17">
        <v>4</v>
      </c>
      <c r="AG19" s="17"/>
      <c r="AH19" s="16"/>
      <c r="AI19" s="16"/>
      <c r="AJ19" s="16"/>
      <c r="AK19" s="16"/>
      <c r="AL19" s="16"/>
      <c r="AM19" s="17"/>
      <c r="AN19" s="17"/>
      <c r="AO19" s="16">
        <f t="shared" si="0"/>
        <v>12</v>
      </c>
      <c r="AP19" s="85" t="s">
        <v>19</v>
      </c>
      <c r="AQ19" s="45">
        <v>45</v>
      </c>
      <c r="AR19" s="19">
        <f t="shared" si="1"/>
        <v>36</v>
      </c>
    </row>
    <row r="20" spans="1:44">
      <c r="A20" s="91"/>
      <c r="B20" s="100"/>
      <c r="C20" s="101"/>
      <c r="D20" s="75"/>
      <c r="E20" s="15" t="s">
        <v>23</v>
      </c>
      <c r="F20" s="25"/>
      <c r="G20" s="24"/>
      <c r="H20" s="16"/>
      <c r="I20" s="16"/>
      <c r="J20" s="16"/>
      <c r="K20" s="55"/>
      <c r="L20" s="17"/>
      <c r="M20" s="16"/>
      <c r="N20" s="16"/>
      <c r="O20" s="16"/>
      <c r="P20" s="16"/>
      <c r="Q20" s="16">
        <v>4</v>
      </c>
      <c r="R20" s="17">
        <v>4</v>
      </c>
      <c r="S20" s="17"/>
      <c r="T20" s="16"/>
      <c r="U20" s="16"/>
      <c r="V20" s="16"/>
      <c r="W20" s="16"/>
      <c r="X20" s="16">
        <v>4</v>
      </c>
      <c r="Y20" s="17">
        <v>4</v>
      </c>
      <c r="Z20" s="17"/>
      <c r="AA20" s="16"/>
      <c r="AB20" s="16"/>
      <c r="AC20" s="16"/>
      <c r="AD20" s="16"/>
      <c r="AE20" s="16">
        <v>4</v>
      </c>
      <c r="AF20" s="17">
        <v>4</v>
      </c>
      <c r="AG20" s="17"/>
      <c r="AH20" s="16"/>
      <c r="AI20" s="16"/>
      <c r="AJ20" s="16"/>
      <c r="AK20" s="16"/>
      <c r="AL20" s="16"/>
      <c r="AM20" s="17"/>
      <c r="AN20" s="17"/>
      <c r="AO20" s="16">
        <f t="shared" si="0"/>
        <v>24</v>
      </c>
      <c r="AP20" s="89"/>
      <c r="AQ20" s="45"/>
      <c r="AR20" s="19" t="str">
        <f t="shared" si="1"/>
        <v/>
      </c>
    </row>
    <row r="21" spans="1:44">
      <c r="A21" s="91"/>
      <c r="B21" s="26" t="s">
        <v>48</v>
      </c>
      <c r="C21" s="27" t="s">
        <v>28</v>
      </c>
      <c r="D21" s="75"/>
      <c r="E21" s="24" t="s">
        <v>30</v>
      </c>
      <c r="F21" s="25"/>
      <c r="G21" s="24"/>
      <c r="H21" s="16"/>
      <c r="I21" s="16"/>
      <c r="J21" s="16"/>
      <c r="K21" s="55"/>
      <c r="L21" s="17"/>
      <c r="M21" s="16"/>
      <c r="N21" s="16"/>
      <c r="O21" s="16"/>
      <c r="P21" s="16"/>
      <c r="Q21" s="16">
        <v>1</v>
      </c>
      <c r="R21" s="17"/>
      <c r="S21" s="17"/>
      <c r="T21" s="16"/>
      <c r="U21" s="16"/>
      <c r="V21" s="16"/>
      <c r="W21" s="16"/>
      <c r="X21" s="16"/>
      <c r="Y21" s="17"/>
      <c r="Z21" s="17"/>
      <c r="AA21" s="16"/>
      <c r="AB21" s="16"/>
      <c r="AC21" s="16"/>
      <c r="AD21" s="16"/>
      <c r="AE21" s="16">
        <v>1</v>
      </c>
      <c r="AF21" s="17"/>
      <c r="AG21" s="17"/>
      <c r="AH21" s="16"/>
      <c r="AI21" s="16"/>
      <c r="AJ21" s="16"/>
      <c r="AK21" s="16"/>
      <c r="AL21" s="16"/>
      <c r="AM21" s="17"/>
      <c r="AN21" s="17"/>
      <c r="AO21" s="16">
        <f t="shared" si="0"/>
        <v>2</v>
      </c>
      <c r="AP21" s="16"/>
      <c r="AQ21" s="45"/>
      <c r="AR21" s="19" t="str">
        <f t="shared" si="1"/>
        <v/>
      </c>
    </row>
    <row r="22" spans="1:44" hidden="1">
      <c r="B22" s="2"/>
      <c r="C22" s="2"/>
      <c r="D22" s="19"/>
      <c r="E22" s="61"/>
      <c r="F22" s="33"/>
      <c r="G22" s="33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Q22" s="45"/>
      <c r="AR22" s="19"/>
    </row>
    <row r="23" spans="1:44" hidden="1">
      <c r="B23" s="2"/>
      <c r="C23" s="2"/>
      <c r="D23" s="19"/>
      <c r="E23" s="61"/>
      <c r="F23" s="33"/>
      <c r="G23" s="3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Q23" s="45"/>
      <c r="AR23" s="19"/>
    </row>
    <row r="24" spans="1:44" hidden="1">
      <c r="B24" s="2"/>
      <c r="C24" s="2"/>
      <c r="D24" s="19"/>
      <c r="E24" s="61"/>
      <c r="F24" s="33"/>
      <c r="G24" s="33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Q24" s="45"/>
      <c r="AR24" s="19"/>
    </row>
    <row r="25" spans="1:44" hidden="1">
      <c r="B25" s="2"/>
      <c r="C25" s="2"/>
      <c r="D25" s="19"/>
      <c r="E25" s="61"/>
      <c r="F25" s="33"/>
      <c r="G25" s="3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Q25" s="45"/>
      <c r="AR25" s="19"/>
    </row>
    <row r="26" spans="1:44" hidden="1">
      <c r="B26" s="2"/>
      <c r="C26" s="2"/>
      <c r="D26" s="19"/>
      <c r="E26" s="61"/>
      <c r="F26" s="33"/>
      <c r="G26" s="33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Q26" s="45"/>
      <c r="AR26" s="19"/>
    </row>
    <row r="27" spans="1:44" hidden="1">
      <c r="B27" s="2"/>
      <c r="C27" s="2"/>
      <c r="D27" s="19"/>
      <c r="E27" s="61"/>
      <c r="F27" s="33"/>
      <c r="G27" s="33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Q27" s="45"/>
      <c r="AR27" s="19"/>
    </row>
    <row r="28" spans="1:44" hidden="1">
      <c r="A28" s="9"/>
      <c r="B28" s="36"/>
      <c r="C28" s="2"/>
      <c r="D28" s="19"/>
      <c r="E28" s="33"/>
      <c r="F28" s="33"/>
      <c r="G28" s="33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R28" s="19"/>
    </row>
    <row r="29" spans="1:44">
      <c r="A29" s="35"/>
      <c r="B29" s="3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R29" s="19" t="str">
        <f>IF(AQ29="","",AQ29-(AQ29*$AS$9))</f>
        <v/>
      </c>
    </row>
    <row r="30" spans="1:44">
      <c r="AD30" s="63" t="s">
        <v>208</v>
      </c>
    </row>
    <row r="31" spans="1:44" s="3" customFormat="1" ht="18" customHeight="1">
      <c r="B31" s="95" t="s">
        <v>134</v>
      </c>
      <c r="C31" s="95"/>
      <c r="J31" s="6" t="s">
        <v>135</v>
      </c>
      <c r="AE31" s="6" t="s">
        <v>136</v>
      </c>
    </row>
    <row r="32" spans="1:44">
      <c r="AD32" s="3"/>
    </row>
    <row r="36" spans="10:31">
      <c r="J36" s="39" t="s">
        <v>137</v>
      </c>
      <c r="AE36" s="39" t="s">
        <v>138</v>
      </c>
    </row>
  </sheetData>
  <mergeCells count="34">
    <mergeCell ref="AQ7:AQ9"/>
    <mergeCell ref="AR7:AR9"/>
    <mergeCell ref="A1:D1"/>
    <mergeCell ref="A2:D2"/>
    <mergeCell ref="A4:AP4"/>
    <mergeCell ref="A5:AP5"/>
    <mergeCell ref="A7:A9"/>
    <mergeCell ref="B7:B9"/>
    <mergeCell ref="C7:E7"/>
    <mergeCell ref="F7:L7"/>
    <mergeCell ref="M7:S7"/>
    <mergeCell ref="T7:Z7"/>
    <mergeCell ref="C8:E8"/>
    <mergeCell ref="AA7:AG7"/>
    <mergeCell ref="AH7:AN7"/>
    <mergeCell ref="AO7:AO9"/>
    <mergeCell ref="AP7:AP9"/>
    <mergeCell ref="A10:A12"/>
    <mergeCell ref="B10:B11"/>
    <mergeCell ref="C10:C11"/>
    <mergeCell ref="D10:D12"/>
    <mergeCell ref="AP10:AP11"/>
    <mergeCell ref="B31:C31"/>
    <mergeCell ref="AP16:AP17"/>
    <mergeCell ref="A19:A21"/>
    <mergeCell ref="B19:B20"/>
    <mergeCell ref="C19:C20"/>
    <mergeCell ref="D19:D21"/>
    <mergeCell ref="AP19:AP20"/>
    <mergeCell ref="A13:A18"/>
    <mergeCell ref="D13:D15"/>
    <mergeCell ref="B16:B17"/>
    <mergeCell ref="C16:C17"/>
    <mergeCell ref="D16:D18"/>
  </mergeCells>
  <printOptions horizontalCentered="1"/>
  <pageMargins left="0.24" right="0.18" top="0.49" bottom="0.35" header="0.28999999999999998" footer="0.31496062992126"/>
  <pageSetup paperSize="9" scale="79" orientation="landscape" r:id="rId1"/>
  <headerFooter differentFirst="1">
    <oddHeader>&amp;C&amp;P</oddHead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76FD-86C7-44D8-BAB9-916680EFEFB1}">
  <dimension ref="A1:AS31"/>
  <sheetViews>
    <sheetView topLeftCell="A7" workbookViewId="0">
      <selection activeCell="J14" sqref="J14"/>
    </sheetView>
  </sheetViews>
  <sheetFormatPr defaultColWidth="8.85546875" defaultRowHeight="18"/>
  <cols>
    <col min="1" max="1" width="7" customWidth="1"/>
    <col min="2" max="2" width="17.640625" customWidth="1"/>
    <col min="3" max="3" width="15.140625" customWidth="1"/>
    <col min="4" max="4" width="9.42578125" customWidth="1"/>
    <col min="5" max="5" width="6" customWidth="1"/>
    <col min="6" max="33" width="2.78515625" customWidth="1"/>
    <col min="34" max="40" width="2.78515625" hidden="1" customWidth="1"/>
    <col min="41" max="41" width="4" customWidth="1"/>
    <col min="42" max="42" width="6.85546875" customWidth="1"/>
    <col min="43" max="44" width="6.2109375" customWidth="1"/>
    <col min="45" max="45" width="8.85546875" customWidth="1"/>
  </cols>
  <sheetData>
    <row r="1" spans="1:45" s="1" customFormat="1" ht="18" customHeight="1">
      <c r="A1" s="96" t="s">
        <v>0</v>
      </c>
      <c r="B1" s="96"/>
      <c r="C1" s="96"/>
      <c r="D1" s="96"/>
      <c r="S1" s="4"/>
      <c r="T1" s="4"/>
      <c r="U1" s="4"/>
      <c r="V1" s="4"/>
      <c r="W1" s="4"/>
      <c r="X1" s="5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5" s="1" customFormat="1" ht="18" customHeight="1">
      <c r="A2" s="97" t="s">
        <v>2</v>
      </c>
      <c r="B2" s="97"/>
      <c r="C2" s="97"/>
      <c r="D2" s="97"/>
      <c r="O2" s="4"/>
      <c r="P2" s="4"/>
      <c r="Q2" s="4"/>
      <c r="R2" s="4"/>
      <c r="S2" s="4"/>
      <c r="T2" s="4"/>
      <c r="U2" s="4"/>
      <c r="V2" s="4"/>
      <c r="W2" s="4"/>
      <c r="X2" s="5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</row>
    <row r="4" spans="1:45" ht="22.5" customHeight="1">
      <c r="A4" s="99" t="s">
        <v>213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</row>
    <row r="5" spans="1:45" ht="20.5" customHeight="1">
      <c r="A5" s="98" t="s">
        <v>186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</row>
    <row r="7" spans="1:45" s="2" customFormat="1" ht="18.75" customHeight="1">
      <c r="A7" s="87" t="s">
        <v>6</v>
      </c>
      <c r="B7" s="87" t="s">
        <v>7</v>
      </c>
      <c r="C7" s="92" t="s">
        <v>8</v>
      </c>
      <c r="D7" s="93"/>
      <c r="E7" s="94"/>
      <c r="F7" s="92">
        <v>1</v>
      </c>
      <c r="G7" s="93"/>
      <c r="H7" s="93"/>
      <c r="I7" s="93"/>
      <c r="J7" s="93"/>
      <c r="K7" s="93"/>
      <c r="L7" s="94"/>
      <c r="M7" s="92">
        <v>2</v>
      </c>
      <c r="N7" s="93"/>
      <c r="O7" s="93"/>
      <c r="P7" s="93"/>
      <c r="Q7" s="93"/>
      <c r="R7" s="93"/>
      <c r="S7" s="94"/>
      <c r="T7" s="92">
        <v>3</v>
      </c>
      <c r="U7" s="93"/>
      <c r="V7" s="93"/>
      <c r="W7" s="93"/>
      <c r="X7" s="93"/>
      <c r="Y7" s="93"/>
      <c r="Z7" s="94"/>
      <c r="AA7" s="92">
        <v>4</v>
      </c>
      <c r="AB7" s="93"/>
      <c r="AC7" s="93"/>
      <c r="AD7" s="93"/>
      <c r="AE7" s="93"/>
      <c r="AF7" s="93"/>
      <c r="AG7" s="94"/>
      <c r="AH7" s="92">
        <v>5</v>
      </c>
      <c r="AI7" s="93"/>
      <c r="AJ7" s="93"/>
      <c r="AK7" s="93"/>
      <c r="AL7" s="93"/>
      <c r="AM7" s="93"/>
      <c r="AN7" s="94"/>
      <c r="AO7" s="87" t="s">
        <v>9</v>
      </c>
      <c r="AP7" s="75" t="s">
        <v>10</v>
      </c>
      <c r="AQ7" s="76" t="s">
        <v>11</v>
      </c>
      <c r="AR7" s="76" t="s">
        <v>12</v>
      </c>
    </row>
    <row r="8" spans="1:45" s="2" customFormat="1" ht="15.5">
      <c r="A8" s="87"/>
      <c r="B8" s="87"/>
      <c r="C8" s="92" t="s">
        <v>13</v>
      </c>
      <c r="D8" s="93"/>
      <c r="E8" s="94"/>
      <c r="F8" s="7">
        <v>5</v>
      </c>
      <c r="G8" s="10">
        <v>6</v>
      </c>
      <c r="H8" s="7">
        <v>7</v>
      </c>
      <c r="I8" s="10">
        <v>8</v>
      </c>
      <c r="J8" s="7">
        <v>9</v>
      </c>
      <c r="K8" s="10">
        <v>10</v>
      </c>
      <c r="L8" s="7">
        <v>11</v>
      </c>
      <c r="M8" s="10">
        <v>12</v>
      </c>
      <c r="N8" s="7">
        <v>13</v>
      </c>
      <c r="O8" s="10">
        <v>14</v>
      </c>
      <c r="P8" s="7">
        <v>15</v>
      </c>
      <c r="Q8" s="10">
        <v>16</v>
      </c>
      <c r="R8" s="7">
        <v>17</v>
      </c>
      <c r="S8" s="10">
        <v>18</v>
      </c>
      <c r="T8" s="7">
        <v>19</v>
      </c>
      <c r="U8" s="10">
        <v>20</v>
      </c>
      <c r="V8" s="7">
        <v>21</v>
      </c>
      <c r="W8" s="10">
        <v>22</v>
      </c>
      <c r="X8" s="7">
        <v>23</v>
      </c>
      <c r="Y8" s="10">
        <v>24</v>
      </c>
      <c r="Z8" s="7">
        <v>25</v>
      </c>
      <c r="AA8" s="10">
        <v>26</v>
      </c>
      <c r="AB8" s="7">
        <v>27</v>
      </c>
      <c r="AC8" s="10">
        <v>28</v>
      </c>
      <c r="AD8" s="7">
        <v>29</v>
      </c>
      <c r="AE8" s="10">
        <v>30</v>
      </c>
      <c r="AF8" s="7">
        <v>31</v>
      </c>
      <c r="AG8" s="10">
        <v>1</v>
      </c>
      <c r="AH8" s="7"/>
      <c r="AI8" s="10"/>
      <c r="AJ8" s="7"/>
      <c r="AK8" s="10"/>
      <c r="AL8" s="7"/>
      <c r="AM8" s="10"/>
      <c r="AN8" s="7"/>
      <c r="AO8" s="87"/>
      <c r="AP8" s="75"/>
      <c r="AQ8" s="76"/>
      <c r="AR8" s="76"/>
    </row>
    <row r="9" spans="1:45" s="2" customFormat="1" ht="15.5">
      <c r="A9" s="87"/>
      <c r="B9" s="87"/>
      <c r="C9" s="10" t="s">
        <v>14</v>
      </c>
      <c r="D9" s="10" t="s">
        <v>15</v>
      </c>
      <c r="E9" s="10" t="s">
        <v>16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1">
        <v>7</v>
      </c>
      <c r="L9" s="11" t="s">
        <v>17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1">
        <v>7</v>
      </c>
      <c r="S9" s="11" t="s">
        <v>17</v>
      </c>
      <c r="T9" s="10">
        <v>2</v>
      </c>
      <c r="U9" s="10">
        <v>3</v>
      </c>
      <c r="V9" s="10">
        <v>4</v>
      </c>
      <c r="W9" s="10">
        <v>5</v>
      </c>
      <c r="X9" s="10">
        <v>6</v>
      </c>
      <c r="Y9" s="11">
        <v>7</v>
      </c>
      <c r="Z9" s="11" t="s">
        <v>17</v>
      </c>
      <c r="AA9" s="10">
        <v>2</v>
      </c>
      <c r="AB9" s="10">
        <v>3</v>
      </c>
      <c r="AC9" s="10">
        <v>4</v>
      </c>
      <c r="AD9" s="10">
        <v>5</v>
      </c>
      <c r="AE9" s="10">
        <v>6</v>
      </c>
      <c r="AF9" s="11">
        <v>7</v>
      </c>
      <c r="AG9" s="11" t="s">
        <v>17</v>
      </c>
      <c r="AH9" s="10">
        <v>2</v>
      </c>
      <c r="AI9" s="10">
        <v>3</v>
      </c>
      <c r="AJ9" s="10">
        <v>4</v>
      </c>
      <c r="AK9" s="10">
        <v>5</v>
      </c>
      <c r="AL9" s="10">
        <v>6</v>
      </c>
      <c r="AM9" s="11">
        <v>7</v>
      </c>
      <c r="AN9" s="11" t="s">
        <v>17</v>
      </c>
      <c r="AO9" s="87"/>
      <c r="AP9" s="75"/>
      <c r="AQ9" s="76"/>
      <c r="AR9" s="76"/>
      <c r="AS9" s="12">
        <v>0.2</v>
      </c>
    </row>
    <row r="10" spans="1:45" ht="18.75" customHeight="1">
      <c r="A10" s="91" t="s">
        <v>205</v>
      </c>
      <c r="B10" s="77" t="s">
        <v>50</v>
      </c>
      <c r="C10" s="90" t="s">
        <v>75</v>
      </c>
      <c r="D10" s="75" t="s">
        <v>204</v>
      </c>
      <c r="E10" s="15" t="s">
        <v>45</v>
      </c>
      <c r="F10" s="25"/>
      <c r="G10" s="24"/>
      <c r="H10" s="16"/>
      <c r="I10" s="16"/>
      <c r="J10" s="16"/>
      <c r="K10" s="17">
        <v>5</v>
      </c>
      <c r="L10" s="17"/>
      <c r="M10" s="16"/>
      <c r="N10" s="16"/>
      <c r="O10" s="16"/>
      <c r="P10" s="16"/>
      <c r="Q10" s="16"/>
      <c r="R10" s="17">
        <v>5</v>
      </c>
      <c r="S10" s="17"/>
      <c r="T10" s="16"/>
      <c r="U10" s="16"/>
      <c r="V10" s="16"/>
      <c r="W10" s="16"/>
      <c r="X10" s="16"/>
      <c r="Y10" s="17"/>
      <c r="Z10" s="17"/>
      <c r="AA10" s="16"/>
      <c r="AB10" s="16"/>
      <c r="AC10" s="16"/>
      <c r="AD10" s="16"/>
      <c r="AE10" s="16"/>
      <c r="AF10" s="17"/>
      <c r="AG10" s="17"/>
      <c r="AH10" s="16"/>
      <c r="AI10" s="16"/>
      <c r="AJ10" s="16"/>
      <c r="AK10" s="16"/>
      <c r="AL10" s="16"/>
      <c r="AM10" s="17"/>
      <c r="AN10" s="17"/>
      <c r="AO10" s="16">
        <f t="shared" ref="AO10:AO16" si="0">SUM(F10:AN10)</f>
        <v>10</v>
      </c>
      <c r="AP10" s="85" t="s">
        <v>206</v>
      </c>
      <c r="AQ10" s="45">
        <v>45</v>
      </c>
      <c r="AR10" s="19">
        <f t="shared" ref="AR10:AR16" si="1">IF(AQ10="","",AQ10-(AQ10*$AS$9))</f>
        <v>36</v>
      </c>
    </row>
    <row r="11" spans="1:45">
      <c r="A11" s="91"/>
      <c r="B11" s="78"/>
      <c r="C11" s="80"/>
      <c r="D11" s="75"/>
      <c r="E11" s="15" t="s">
        <v>23</v>
      </c>
      <c r="F11" s="25"/>
      <c r="G11" s="24"/>
      <c r="H11" s="16"/>
      <c r="I11" s="16"/>
      <c r="J11" s="16">
        <v>5</v>
      </c>
      <c r="K11" s="17">
        <v>4</v>
      </c>
      <c r="L11" s="17"/>
      <c r="M11" s="16"/>
      <c r="N11" s="16"/>
      <c r="O11" s="16"/>
      <c r="P11" s="16"/>
      <c r="Q11" s="16">
        <v>5</v>
      </c>
      <c r="R11" s="17">
        <v>4</v>
      </c>
      <c r="S11" s="17"/>
      <c r="T11" s="16"/>
      <c r="U11" s="16"/>
      <c r="V11" s="16"/>
      <c r="W11" s="16"/>
      <c r="X11" s="16"/>
      <c r="Y11" s="17"/>
      <c r="Z11" s="17"/>
      <c r="AA11" s="16"/>
      <c r="AB11" s="16"/>
      <c r="AC11" s="16"/>
      <c r="AD11" s="16"/>
      <c r="AE11" s="16"/>
      <c r="AF11" s="17"/>
      <c r="AG11" s="17"/>
      <c r="AH11" s="16"/>
      <c r="AI11" s="16"/>
      <c r="AJ11" s="16"/>
      <c r="AK11" s="16"/>
      <c r="AL11" s="16"/>
      <c r="AM11" s="17"/>
      <c r="AN11" s="17"/>
      <c r="AO11" s="16">
        <f t="shared" si="0"/>
        <v>18</v>
      </c>
      <c r="AP11" s="89"/>
      <c r="AQ11" s="45"/>
      <c r="AR11" s="19" t="str">
        <f t="shared" si="1"/>
        <v/>
      </c>
    </row>
    <row r="12" spans="1:45">
      <c r="A12" s="91"/>
      <c r="B12" s="77" t="s">
        <v>42</v>
      </c>
      <c r="C12" s="90" t="s">
        <v>61</v>
      </c>
      <c r="D12" s="75"/>
      <c r="E12" s="15" t="s">
        <v>45</v>
      </c>
      <c r="F12" s="25"/>
      <c r="G12" s="25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>
        <v>5</v>
      </c>
      <c r="Z12" s="17"/>
      <c r="AA12" s="16"/>
      <c r="AB12" s="16"/>
      <c r="AC12" s="16"/>
      <c r="AD12" s="16"/>
      <c r="AE12" s="16"/>
      <c r="AF12" s="17"/>
      <c r="AG12" s="17"/>
      <c r="AH12" s="16"/>
      <c r="AI12" s="16"/>
      <c r="AJ12" s="16"/>
      <c r="AK12" s="16"/>
      <c r="AL12" s="16"/>
      <c r="AM12" s="17"/>
      <c r="AN12" s="17"/>
      <c r="AO12" s="16">
        <f t="shared" si="0"/>
        <v>5</v>
      </c>
      <c r="AP12" s="85" t="s">
        <v>207</v>
      </c>
      <c r="AQ12" s="45">
        <v>30</v>
      </c>
      <c r="AR12" s="19">
        <f t="shared" si="1"/>
        <v>24</v>
      </c>
    </row>
    <row r="13" spans="1:45">
      <c r="A13" s="91"/>
      <c r="B13" s="78"/>
      <c r="C13" s="80"/>
      <c r="D13" s="75"/>
      <c r="E13" s="15" t="s">
        <v>23</v>
      </c>
      <c r="F13" s="25"/>
      <c r="G13" s="25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>
        <v>5</v>
      </c>
      <c r="Y13" s="17">
        <v>4</v>
      </c>
      <c r="Z13" s="17"/>
      <c r="AA13" s="16"/>
      <c r="AB13" s="16"/>
      <c r="AC13" s="16"/>
      <c r="AD13" s="16"/>
      <c r="AE13" s="16"/>
      <c r="AF13" s="17"/>
      <c r="AG13" s="17"/>
      <c r="AH13" s="16"/>
      <c r="AI13" s="16"/>
      <c r="AJ13" s="16"/>
      <c r="AK13" s="16"/>
      <c r="AL13" s="16"/>
      <c r="AM13" s="17"/>
      <c r="AN13" s="17"/>
      <c r="AO13" s="16">
        <f t="shared" si="0"/>
        <v>9</v>
      </c>
      <c r="AP13" s="89"/>
      <c r="AQ13" s="45"/>
      <c r="AR13" s="19" t="str">
        <f t="shared" si="1"/>
        <v/>
      </c>
    </row>
    <row r="14" spans="1:45">
      <c r="A14" s="91"/>
      <c r="B14" s="77" t="s">
        <v>117</v>
      </c>
      <c r="C14" s="90" t="s">
        <v>118</v>
      </c>
      <c r="D14" s="75"/>
      <c r="E14" s="15" t="s">
        <v>45</v>
      </c>
      <c r="F14" s="25"/>
      <c r="G14" s="25"/>
      <c r="H14" s="16"/>
      <c r="I14" s="16"/>
      <c r="J14" s="16"/>
      <c r="K14" s="17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/>
      <c r="Z14" s="17"/>
      <c r="AA14" s="16"/>
      <c r="AB14" s="16"/>
      <c r="AC14" s="16"/>
      <c r="AD14" s="16"/>
      <c r="AE14" s="16"/>
      <c r="AF14" s="17">
        <v>5</v>
      </c>
      <c r="AG14" s="17"/>
      <c r="AH14" s="16"/>
      <c r="AI14" s="16"/>
      <c r="AJ14" s="16"/>
      <c r="AK14" s="16"/>
      <c r="AL14" s="16"/>
      <c r="AM14" s="17"/>
      <c r="AN14" s="17"/>
      <c r="AO14" s="16">
        <f t="shared" si="0"/>
        <v>5</v>
      </c>
      <c r="AP14" s="85" t="s">
        <v>207</v>
      </c>
      <c r="AQ14" s="45">
        <v>30</v>
      </c>
      <c r="AR14" s="19">
        <f t="shared" si="1"/>
        <v>24</v>
      </c>
    </row>
    <row r="15" spans="1:45">
      <c r="A15" s="91"/>
      <c r="B15" s="78"/>
      <c r="C15" s="80"/>
      <c r="D15" s="75"/>
      <c r="E15" s="15" t="s">
        <v>23</v>
      </c>
      <c r="F15" s="24"/>
      <c r="G15" s="24"/>
      <c r="H15" s="16"/>
      <c r="I15" s="16"/>
      <c r="J15" s="16"/>
      <c r="K15" s="17"/>
      <c r="L15" s="17"/>
      <c r="M15" s="16"/>
      <c r="N15" s="16"/>
      <c r="O15" s="16"/>
      <c r="P15" s="16"/>
      <c r="Q15" s="16"/>
      <c r="R15" s="17"/>
      <c r="S15" s="17"/>
      <c r="T15" s="16"/>
      <c r="U15" s="16"/>
      <c r="V15" s="16"/>
      <c r="W15" s="16"/>
      <c r="X15" s="16"/>
      <c r="Y15" s="17"/>
      <c r="Z15" s="17"/>
      <c r="AA15" s="16"/>
      <c r="AB15" s="16"/>
      <c r="AC15" s="16"/>
      <c r="AD15" s="16"/>
      <c r="AE15" s="16">
        <v>5</v>
      </c>
      <c r="AF15" s="17">
        <v>4</v>
      </c>
      <c r="AG15" s="17"/>
      <c r="AH15" s="16"/>
      <c r="AI15" s="16"/>
      <c r="AJ15" s="16"/>
      <c r="AK15" s="16"/>
      <c r="AL15" s="16"/>
      <c r="AM15" s="16"/>
      <c r="AN15" s="16"/>
      <c r="AO15" s="16">
        <f t="shared" si="0"/>
        <v>9</v>
      </c>
      <c r="AP15" s="89"/>
      <c r="AQ15" s="45"/>
      <c r="AR15" s="19" t="str">
        <f t="shared" si="1"/>
        <v/>
      </c>
    </row>
    <row r="16" spans="1:45">
      <c r="A16" s="91"/>
      <c r="B16" s="46" t="s">
        <v>20</v>
      </c>
      <c r="C16" s="46" t="s">
        <v>28</v>
      </c>
      <c r="D16" s="75"/>
      <c r="E16" s="24" t="s">
        <v>30</v>
      </c>
      <c r="F16" s="24"/>
      <c r="G16" s="24"/>
      <c r="H16" s="16"/>
      <c r="I16" s="16"/>
      <c r="J16" s="16"/>
      <c r="K16" s="17"/>
      <c r="L16" s="17"/>
      <c r="M16" s="16"/>
      <c r="N16" s="16"/>
      <c r="O16" s="16"/>
      <c r="P16" s="16"/>
      <c r="Q16" s="16"/>
      <c r="R16" s="17">
        <v>1</v>
      </c>
      <c r="S16" s="17"/>
      <c r="T16" s="16"/>
      <c r="U16" s="16"/>
      <c r="V16" s="16"/>
      <c r="W16" s="16"/>
      <c r="X16" s="16"/>
      <c r="Y16" s="17"/>
      <c r="Z16" s="17"/>
      <c r="AA16" s="16"/>
      <c r="AB16" s="16"/>
      <c r="AC16" s="16"/>
      <c r="AD16" s="16"/>
      <c r="AE16" s="16"/>
      <c r="AF16" s="17">
        <v>1</v>
      </c>
      <c r="AG16" s="17"/>
      <c r="AH16" s="16"/>
      <c r="AI16" s="16"/>
      <c r="AJ16" s="16"/>
      <c r="AK16" s="16"/>
      <c r="AL16" s="16"/>
      <c r="AM16" s="16"/>
      <c r="AN16" s="16"/>
      <c r="AO16" s="16">
        <f t="shared" si="0"/>
        <v>2</v>
      </c>
      <c r="AP16" s="62"/>
      <c r="AQ16" s="45"/>
      <c r="AR16" s="19" t="str">
        <f t="shared" si="1"/>
        <v/>
      </c>
    </row>
    <row r="17" spans="1:44" hidden="1">
      <c r="B17" s="2"/>
      <c r="C17" s="2"/>
      <c r="D17" s="19"/>
      <c r="E17" s="61"/>
      <c r="F17" s="33"/>
      <c r="G17" s="33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Q17" s="45"/>
      <c r="AR17" s="19"/>
    </row>
    <row r="18" spans="1:44" hidden="1">
      <c r="B18" s="2"/>
      <c r="C18" s="2"/>
      <c r="D18" s="19"/>
      <c r="E18" s="61"/>
      <c r="F18" s="33"/>
      <c r="G18" s="3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Q18" s="45"/>
      <c r="AR18" s="19"/>
    </row>
    <row r="19" spans="1:44" hidden="1">
      <c r="B19" s="2"/>
      <c r="C19" s="2"/>
      <c r="D19" s="19"/>
      <c r="E19" s="61"/>
      <c r="F19" s="33"/>
      <c r="G19" s="3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Q19" s="45"/>
      <c r="AR19" s="19"/>
    </row>
    <row r="20" spans="1:44" hidden="1">
      <c r="B20" s="2"/>
      <c r="C20" s="2"/>
      <c r="D20" s="19"/>
      <c r="E20" s="61"/>
      <c r="F20" s="33"/>
      <c r="G20" s="33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Q20" s="45"/>
      <c r="AR20" s="19"/>
    </row>
    <row r="21" spans="1:44" hidden="1">
      <c r="B21" s="2"/>
      <c r="C21" s="2"/>
      <c r="D21" s="19"/>
      <c r="E21" s="61"/>
      <c r="F21" s="33"/>
      <c r="G21" s="33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Q21" s="45"/>
      <c r="AR21" s="19"/>
    </row>
    <row r="22" spans="1:44" hidden="1">
      <c r="B22" s="2"/>
      <c r="C22" s="2"/>
      <c r="D22" s="19"/>
      <c r="E22" s="61"/>
      <c r="F22" s="33"/>
      <c r="G22" s="33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Q22" s="45"/>
      <c r="AR22" s="19"/>
    </row>
    <row r="23" spans="1:44" hidden="1">
      <c r="A23" s="9"/>
      <c r="B23" s="36"/>
      <c r="C23" s="2"/>
      <c r="D23" s="19"/>
      <c r="E23" s="33"/>
      <c r="F23" s="33"/>
      <c r="G23" s="3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R23" s="19"/>
    </row>
    <row r="24" spans="1:44">
      <c r="A24" s="35" t="s">
        <v>132</v>
      </c>
      <c r="B24" s="3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R24" s="19" t="str">
        <f>IF(AQ24="","",AQ24-(AQ24*$AS$9))</f>
        <v/>
      </c>
    </row>
    <row r="25" spans="1:44">
      <c r="AD25" s="63" t="s">
        <v>208</v>
      </c>
    </row>
    <row r="26" spans="1:44" s="3" customFormat="1" ht="18" customHeight="1">
      <c r="B26" s="95" t="s">
        <v>134</v>
      </c>
      <c r="C26" s="95"/>
      <c r="J26" s="6" t="s">
        <v>135</v>
      </c>
      <c r="AE26" s="6" t="s">
        <v>136</v>
      </c>
    </row>
    <row r="27" spans="1:44">
      <c r="AD27" s="3"/>
    </row>
    <row r="31" spans="1:44">
      <c r="J31" s="39" t="s">
        <v>137</v>
      </c>
      <c r="AE31" s="39" t="s">
        <v>138</v>
      </c>
    </row>
  </sheetData>
  <mergeCells count="29">
    <mergeCell ref="AQ7:AQ9"/>
    <mergeCell ref="AR7:AR9"/>
    <mergeCell ref="A1:D1"/>
    <mergeCell ref="A2:D2"/>
    <mergeCell ref="A4:AP4"/>
    <mergeCell ref="A5:AP5"/>
    <mergeCell ref="A7:A9"/>
    <mergeCell ref="B7:B9"/>
    <mergeCell ref="C7:E7"/>
    <mergeCell ref="F7:L7"/>
    <mergeCell ref="M7:S7"/>
    <mergeCell ref="T7:Z7"/>
    <mergeCell ref="C8:E8"/>
    <mergeCell ref="AA7:AG7"/>
    <mergeCell ref="AH7:AN7"/>
    <mergeCell ref="AO7:AO9"/>
    <mergeCell ref="AP7:AP9"/>
    <mergeCell ref="A10:A16"/>
    <mergeCell ref="B10:B11"/>
    <mergeCell ref="C10:C11"/>
    <mergeCell ref="D10:D16"/>
    <mergeCell ref="AP10:AP11"/>
    <mergeCell ref="B26:C26"/>
    <mergeCell ref="B12:B13"/>
    <mergeCell ref="C12:C13"/>
    <mergeCell ref="AP12:AP13"/>
    <mergeCell ref="B14:B15"/>
    <mergeCell ref="C14:C15"/>
    <mergeCell ref="AP14:AP15"/>
  </mergeCells>
  <printOptions horizontalCentered="1"/>
  <pageMargins left="0.24" right="0.18" top="0.49" bottom="0.35" header="0.28999999999999998" footer="0.31496062992126"/>
  <pageSetup paperSize="9" scale="79" orientation="landscape" r:id="rId1"/>
  <headerFooter differentFirst="1">
    <oddHeader>&amp;C&amp;P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Thang_08_2026</vt:lpstr>
      <vt:lpstr>Thang_09_2026</vt:lpstr>
      <vt:lpstr>Thang_10_2026</vt:lpstr>
      <vt:lpstr>Thang_09_2026_BT</vt:lpstr>
      <vt:lpstr>Thang_10_2026_BT</vt:lpstr>
      <vt:lpstr>Thang_09_2026_BaDon</vt:lpstr>
      <vt:lpstr>Thang_10_2026_BaDon</vt:lpstr>
      <vt:lpstr>Thang_09_2026_TuyenHoa</vt:lpstr>
      <vt:lpstr>Thang_10_2026_TuyenHoa</vt:lpstr>
      <vt:lpstr>Thang_09_2026_HuongHoa</vt:lpstr>
      <vt:lpstr>Thang_10_2026_HuongHoa</vt:lpstr>
      <vt:lpstr>Thang_10_2026_Dakroong</vt:lpstr>
      <vt:lpstr>Thang_08_2026!Print_Titles</vt:lpstr>
      <vt:lpstr>Thang_09_2026!Print_Titles</vt:lpstr>
      <vt:lpstr>Thang_09_2026_BaDon!Print_Titles</vt:lpstr>
      <vt:lpstr>Thang_09_2026_BT!Print_Titles</vt:lpstr>
      <vt:lpstr>Thang_09_2026_HuongHoa!Print_Titles</vt:lpstr>
      <vt:lpstr>Thang_09_2026_TuyenHoa!Print_Titles</vt:lpstr>
      <vt:lpstr>Thang_10_2026!Print_Titles</vt:lpstr>
      <vt:lpstr>Thang_10_2026_BaDon!Print_Titles</vt:lpstr>
      <vt:lpstr>Thang_10_2026_BT!Print_Titles</vt:lpstr>
      <vt:lpstr>Thang_10_2026_Dakroong!Print_Titles</vt:lpstr>
      <vt:lpstr>Thang_10_2026_HuongHoa!Print_Titles</vt:lpstr>
      <vt:lpstr>Thang_10_2026_TuyenHoa!Print_Titles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2026-10-02T10:09:30Z</cp:lastPrinted>
  <dcterms:created xsi:type="dcterms:W3CDTF">2024-08-21T02:32:00Z</dcterms:created>
  <dcterms:modified xsi:type="dcterms:W3CDTF">2026-10-24T02:10:27Z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E1DBCF0F6CCC41D7ACC0129A74856376_12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