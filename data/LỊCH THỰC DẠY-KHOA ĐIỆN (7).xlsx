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DƯƠNG NHÀN\ĐÀO TẠO\THỜI KHÓA BIỂU\TKB-NH-2026-2027\"/>
    </mc:Choice>
  </mc:AlternateContent>
  <xr:revisionPtr revIDLastSave="0" documentId="13_ncr:1_{2AB2A6D2-5790-40E6-9DB2-9082815AD7BF}" xr6:coauthVersionLast="47" xr6:coauthVersionMax="47" xr10:uidLastSave="{00000000-0000-0000-0000-000000000000}"/>
  <bookViews>
    <workbookView xWindow="-120" yWindow="-120" windowWidth="29040" windowHeight="15720" firstSheet="6" activeTab="11" xr2:uid="{00000000-000D-0000-FFFF-FFFF00000000}"/>
  </bookViews>
  <sheets>
    <sheet name="SGV_11" sheetId="27" state="veryHidden" r:id="rId1"/>
    <sheet name="SGV_12" sheetId="28" state="veryHidden" r:id="rId2"/>
    <sheet name="SGV_13" sheetId="29" state="veryHidden" r:id="rId3"/>
    <sheet name="SGV_14" sheetId="30" state="veryHidden" r:id="rId4"/>
    <sheet name="SGV_15" sheetId="31" state="veryHidden" r:id="rId5"/>
    <sheet name="SGV_16" sheetId="32" state="veryHidden" r:id="rId6"/>
    <sheet name="THÁNG 8" sheetId="51" r:id="rId7"/>
    <sheet name="THÁNG 9 (2)" sheetId="53" r:id="rId8"/>
    <sheet name="THÁNG 9" sheetId="45" r:id="rId9"/>
    <sheet name="THÁNG 10" sheetId="52" r:id="rId10"/>
    <sheet name="THÁNG 10 ĐC-BS" sheetId="58" r:id="rId11"/>
    <sheet name="THÁNG 11" sheetId="55" r:id="rId12"/>
    <sheet name="THÁNG 12" sheetId="56" r:id="rId13"/>
    <sheet name="THÁNG 1" sheetId="57" r:id="rId14"/>
    <sheet name="SGV_2" sheetId="16" state="veryHidden" r:id="rId15"/>
    <sheet name="SGV_3" sheetId="18" state="veryHidden" r:id="rId16"/>
    <sheet name="SGV_4" sheetId="20" state="veryHidden" r:id="rId17"/>
    <sheet name="SGV_5" sheetId="21" state="veryHidden" r:id="rId18"/>
    <sheet name="SGV_6" sheetId="22" state="veryHidden" r:id="rId19"/>
    <sheet name="SGV_7" sheetId="23" state="veryHidden" r:id="rId20"/>
    <sheet name="SGV_8" sheetId="24" state="veryHidden" r:id="rId21"/>
    <sheet name="SGV_9" sheetId="25" state="veryHidden" r:id="rId22"/>
    <sheet name="SGV_10" sheetId="26" state="veryHidden" r:id="rId23"/>
    <sheet name="TỔNG HỢP GIỜ" sheetId="2" state="hidden" r:id="rId24"/>
  </sheets>
  <definedNames>
    <definedName name="_xlnm._FilterDatabase" localSheetId="13" hidden="1">'THÁNG 1'!$A$10:$AI$61</definedName>
    <definedName name="_xlnm._FilterDatabase" localSheetId="9" hidden="1">'THÁNG 10'!$A$9:$AP$60</definedName>
    <definedName name="_xlnm._FilterDatabase" localSheetId="10" hidden="1">'THÁNG 10 ĐC-BS'!$A$10:$AJ$26</definedName>
    <definedName name="_xlnm._FilterDatabase" localSheetId="11" hidden="1">'THÁNG 11'!$A$9:$AP$90</definedName>
    <definedName name="_xlnm._FilterDatabase" localSheetId="12" hidden="1">'THÁNG 12'!$A$10:$AQ$71</definedName>
    <definedName name="_xlnm._FilterDatabase" localSheetId="6" hidden="1">'THÁNG 8'!$A$10:$V$37</definedName>
    <definedName name="_xlnm._FilterDatabase" localSheetId="8" hidden="1">'THÁNG 9'!$A$10:$AQ$57</definedName>
    <definedName name="_xlnm._FilterDatabase" localSheetId="7" hidden="1">'THÁNG 9 (2)'!$A$10:$AQ$16</definedName>
    <definedName name="_xlnm.Print_Titles" localSheetId="13">'THÁNG 1'!$7:$9</definedName>
    <definedName name="_xlnm.Print_Titles" localSheetId="9">'THÁNG 10'!$7:$9</definedName>
    <definedName name="_xlnm.Print_Titles" localSheetId="10">'THÁNG 10 ĐC-BS'!$7:$9</definedName>
    <definedName name="_xlnm.Print_Titles" localSheetId="11">'THÁNG 11'!$7:$9</definedName>
    <definedName name="_xlnm.Print_Titles" localSheetId="12">'THÁNG 12'!$7:$9</definedName>
    <definedName name="_xlnm.Print_Titles" localSheetId="6">'THÁNG 8'!$7:$9</definedName>
    <definedName name="_xlnm.Print_Titles" localSheetId="8">'THÁNG 9'!$7:$9</definedName>
    <definedName name="_xlnm.Print_Titles" localSheetId="7">'THÁNG 9 (2)'!$7:$9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2" i="55" l="1"/>
  <c r="AH59" i="57"/>
  <c r="AO69" i="56"/>
  <c r="AH82" i="55"/>
  <c r="AH77" i="55"/>
  <c r="AO50" i="56"/>
  <c r="AH85" i="55"/>
  <c r="AO60" i="56" l="1"/>
  <c r="AH64" i="55"/>
  <c r="AO44" i="56" l="1"/>
  <c r="AO55" i="56" l="1"/>
  <c r="AH53" i="57"/>
  <c r="AH75" i="55"/>
  <c r="AH45" i="55" l="1"/>
  <c r="AH22" i="58"/>
  <c r="AH80" i="55"/>
  <c r="AH71" i="55"/>
  <c r="AH40" i="57"/>
  <c r="AH48" i="55"/>
  <c r="AH36" i="57"/>
  <c r="AH43" i="55"/>
  <c r="AO53" i="56"/>
  <c r="AO54" i="56"/>
  <c r="AO52" i="56"/>
  <c r="AP32" i="56" l="1"/>
  <c r="AP40" i="56" s="1"/>
  <c r="AO26" i="56"/>
  <c r="AI19" i="57" l="1"/>
  <c r="AH19" i="57"/>
  <c r="AH16" i="57"/>
  <c r="AI20" i="57"/>
  <c r="AO18" i="56"/>
  <c r="AP23" i="56"/>
  <c r="AO23" i="56"/>
  <c r="AH22" i="55"/>
  <c r="AI22" i="55"/>
  <c r="AH18" i="55"/>
  <c r="AH15" i="55" l="1"/>
  <c r="AH16" i="55"/>
  <c r="AH17" i="55"/>
  <c r="AO67" i="56" l="1"/>
  <c r="AO65" i="56"/>
  <c r="AO63" i="56"/>
  <c r="AO45" i="56"/>
  <c r="AH67" i="55"/>
  <c r="AH48" i="57"/>
  <c r="AH47" i="57"/>
  <c r="AH46" i="57"/>
  <c r="AH37" i="57"/>
  <c r="AH57" i="57"/>
  <c r="AH55" i="57"/>
  <c r="AH44" i="55"/>
  <c r="AH61" i="55"/>
  <c r="AH60" i="55"/>
  <c r="AH58" i="55"/>
  <c r="AH15" i="58"/>
  <c r="AH16" i="58"/>
  <c r="AH18" i="58"/>
  <c r="AH20" i="58"/>
  <c r="AH12" i="58" l="1"/>
  <c r="AH11" i="58"/>
  <c r="AH10" i="58"/>
  <c r="AO13" i="56" l="1"/>
  <c r="AO12" i="56"/>
  <c r="AH12" i="55"/>
  <c r="AH11" i="55"/>
  <c r="AI31" i="57"/>
  <c r="AH26" i="57"/>
  <c r="AH27" i="57"/>
  <c r="AH28" i="57"/>
  <c r="AH29" i="57"/>
  <c r="AH30" i="57"/>
  <c r="AH31" i="57"/>
  <c r="AI26" i="57"/>
  <c r="AH22" i="57"/>
  <c r="AP38" i="56"/>
  <c r="AO34" i="56"/>
  <c r="AO25" i="56"/>
  <c r="AH40" i="55"/>
  <c r="AI40" i="55"/>
  <c r="AI32" i="55"/>
  <c r="AI38" i="55" s="1"/>
  <c r="AI34" i="52"/>
  <c r="AH42" i="57"/>
  <c r="AH38" i="57"/>
  <c r="AH35" i="57"/>
  <c r="AH51" i="57"/>
  <c r="AH34" i="57"/>
  <c r="AH33" i="57"/>
  <c r="AI32" i="57"/>
  <c r="AH32" i="57"/>
  <c r="AI30" i="57"/>
  <c r="AI28" i="57"/>
  <c r="AI33" i="57" s="1"/>
  <c r="AH25" i="57"/>
  <c r="AH24" i="57"/>
  <c r="AH23" i="57"/>
  <c r="AH21" i="57"/>
  <c r="AH20" i="57"/>
  <c r="AH18" i="57"/>
  <c r="AH15" i="57"/>
  <c r="AH14" i="57"/>
  <c r="AH13" i="57"/>
  <c r="AH12" i="57"/>
  <c r="AH11" i="57"/>
  <c r="AH10" i="57"/>
  <c r="AO48" i="56"/>
  <c r="AO46" i="56"/>
  <c r="AO43" i="56"/>
  <c r="AO58" i="56"/>
  <c r="AO42" i="56"/>
  <c r="AO41" i="56"/>
  <c r="AO40" i="56"/>
  <c r="AO39" i="56"/>
  <c r="AO38" i="56"/>
  <c r="AP37" i="56"/>
  <c r="AO37" i="56"/>
  <c r="AO36" i="56"/>
  <c r="AP33" i="56"/>
  <c r="AP39" i="56" s="1"/>
  <c r="AO33" i="56"/>
  <c r="AO32" i="56"/>
  <c r="AO31" i="56"/>
  <c r="AO30" i="56"/>
  <c r="AO29" i="56"/>
  <c r="AO28" i="56"/>
  <c r="AO27" i="56"/>
  <c r="AO24" i="56"/>
  <c r="AP22" i="56"/>
  <c r="AO22" i="56"/>
  <c r="AP21" i="56"/>
  <c r="AO21" i="56"/>
  <c r="AO20" i="56"/>
  <c r="AO17" i="56"/>
  <c r="AO16" i="56"/>
  <c r="AO15" i="56"/>
  <c r="AO14" i="56"/>
  <c r="AQ12" i="56"/>
  <c r="AO11" i="56"/>
  <c r="AQ10" i="56"/>
  <c r="AO10" i="56"/>
  <c r="AH50" i="55"/>
  <c r="AH46" i="55"/>
  <c r="AH42" i="55"/>
  <c r="AH41" i="55"/>
  <c r="AI39" i="55"/>
  <c r="AH39" i="55"/>
  <c r="AH38" i="55"/>
  <c r="AH37" i="55"/>
  <c r="AI36" i="55"/>
  <c r="AH36" i="55"/>
  <c r="AH35" i="55"/>
  <c r="AH33" i="55"/>
  <c r="AH32" i="55"/>
  <c r="AH31" i="55"/>
  <c r="AH30" i="55"/>
  <c r="AH29" i="55"/>
  <c r="AH28" i="55"/>
  <c r="AH27" i="55"/>
  <c r="AH26" i="55"/>
  <c r="AH25" i="55"/>
  <c r="AI24" i="55"/>
  <c r="AH24" i="55"/>
  <c r="AI23" i="55"/>
  <c r="AH23" i="55"/>
  <c r="AH21" i="55"/>
  <c r="AH20" i="55"/>
  <c r="AH19" i="55"/>
  <c r="AH14" i="55"/>
  <c r="AH13" i="55"/>
  <c r="AH10" i="55"/>
  <c r="AI40" i="52"/>
  <c r="AH34" i="52"/>
  <c r="AH32" i="52"/>
  <c r="AH40" i="52" l="1"/>
  <c r="AH39" i="52"/>
  <c r="AH54" i="52"/>
  <c r="AH56" i="52"/>
  <c r="AH52" i="52"/>
  <c r="AH50" i="52"/>
  <c r="AH43" i="52"/>
  <c r="AI38" i="52"/>
  <c r="AH38" i="52"/>
  <c r="AH33" i="52"/>
  <c r="AH35" i="52"/>
  <c r="AI37" i="52"/>
  <c r="AH37" i="52"/>
  <c r="AI25" i="52"/>
  <c r="AJ17" i="52"/>
  <c r="AJ13" i="52"/>
  <c r="AJ10" i="52"/>
  <c r="AH48" i="52"/>
  <c r="AH47" i="52"/>
  <c r="AH45" i="52"/>
  <c r="AH42" i="52"/>
  <c r="AH41" i="52"/>
  <c r="AH36" i="52"/>
  <c r="AH31" i="52"/>
  <c r="AH30" i="52"/>
  <c r="AH29" i="52"/>
  <c r="AH28" i="52"/>
  <c r="AH27" i="52"/>
  <c r="AH26" i="52"/>
  <c r="AH25" i="52"/>
  <c r="AI24" i="52"/>
  <c r="AH24" i="52"/>
  <c r="AH23" i="52"/>
  <c r="AH22" i="52"/>
  <c r="AH21" i="52"/>
  <c r="AH20" i="52"/>
  <c r="AH19" i="52"/>
  <c r="AI18" i="52"/>
  <c r="AI22" i="52" s="1"/>
  <c r="AH18" i="52"/>
  <c r="AH17" i="52"/>
  <c r="AH16" i="52"/>
  <c r="AH15" i="52"/>
  <c r="AH14" i="52"/>
  <c r="AH13" i="52"/>
  <c r="AH12" i="52"/>
  <c r="AH11" i="52"/>
  <c r="AH10" i="52"/>
  <c r="AO30" i="45"/>
  <c r="AO49" i="45"/>
  <c r="AO48" i="45"/>
  <c r="AO46" i="45" l="1"/>
  <c r="AO44" i="45"/>
  <c r="AO41" i="45"/>
  <c r="AP35" i="45"/>
  <c r="AP40" i="45"/>
  <c r="AP39" i="45"/>
  <c r="AO45" i="45"/>
  <c r="AP43" i="45"/>
  <c r="AP42" i="45"/>
  <c r="AO33" i="45"/>
  <c r="AO34" i="45"/>
  <c r="AO35" i="45"/>
  <c r="AO36" i="45"/>
  <c r="AO37" i="45"/>
  <c r="AO38" i="45"/>
  <c r="AO39" i="45"/>
  <c r="AO40" i="45"/>
  <c r="AO42" i="45"/>
  <c r="AO43" i="45"/>
  <c r="AO29" i="45"/>
  <c r="AO31" i="45"/>
  <c r="AP31" i="45"/>
  <c r="AO27" i="45"/>
  <c r="AO28" i="45"/>
  <c r="AO32" i="45"/>
  <c r="AO15" i="45"/>
  <c r="AO16" i="45"/>
  <c r="AO17" i="45"/>
  <c r="AO18" i="45"/>
  <c r="AO19" i="45"/>
  <c r="AO20" i="45"/>
  <c r="AO21" i="45"/>
  <c r="AO22" i="45"/>
  <c r="AO23" i="45"/>
  <c r="AO24" i="45"/>
  <c r="AO25" i="45"/>
  <c r="AO26" i="45"/>
  <c r="AP25" i="45"/>
  <c r="AP18" i="45"/>
  <c r="AP22" i="45" s="1"/>
  <c r="AO11" i="45"/>
  <c r="AO12" i="45"/>
  <c r="AO13" i="45"/>
  <c r="AO14" i="45"/>
  <c r="AO10" i="45"/>
  <c r="U31" i="51"/>
  <c r="T26" i="51"/>
  <c r="T27" i="51"/>
  <c r="T28" i="51"/>
  <c r="T29" i="51"/>
  <c r="T30" i="51"/>
  <c r="T31" i="51"/>
  <c r="T25" i="51"/>
  <c r="T18" i="51"/>
  <c r="T13" i="51"/>
  <c r="U30" i="51"/>
  <c r="U29" i="51"/>
  <c r="T11" i="51" l="1"/>
  <c r="T12" i="51"/>
  <c r="T14" i="51"/>
  <c r="T15" i="51"/>
  <c r="T16" i="51"/>
  <c r="T17" i="51"/>
  <c r="T19" i="51"/>
  <c r="T20" i="51"/>
  <c r="T21" i="51"/>
  <c r="T22" i="51"/>
  <c r="T23" i="51"/>
  <c r="T24" i="51"/>
  <c r="T32" i="51"/>
  <c r="T34" i="51"/>
  <c r="T10" i="51"/>
  <c r="AP24" i="45" l="1"/>
  <c r="D17" i="2" l="1"/>
  <c r="D11" i="2"/>
  <c r="D9" i="2"/>
  <c r="D8" i="2" l="1"/>
  <c r="D10" i="2" l="1"/>
  <c r="D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49" authorId="0" shapeId="0" xr:uid="{31650C07-6EF7-4A14-99A4-6A168561279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30" authorId="0" shapeId="0" xr:uid="{B0C35342-9C3A-45E5-8391-2ABDDA65BB5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71" authorId="0" shapeId="0" xr:uid="{96040510-8CD8-4F70-8113-448EB7F85C1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74" authorId="0" shapeId="0" xr:uid="{E0CC83C2-3E41-43C1-AF68-4C6D6C77A53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40" authorId="0" shapeId="0" xr:uid="{BE0F1356-DA07-4012-B3B5-5D31490FA6D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104" authorId="0" shapeId="0" xr:uid="{14DB07DC-A155-4CF5-9410-D349FFBCB0B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85" authorId="0" shapeId="0" xr:uid="{9BA1270C-A681-4146-8037-7546C7AB8D2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75" authorId="0" shapeId="0" xr:uid="{FF7D8A4E-F0E2-44A6-8993-2C010D35966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<sst xmlns="http://schemas.openxmlformats.org/spreadsheetml/2006/main" count="2042" uniqueCount="275">
  <si>
    <t>UBND TỈNH QUẢNG BÌNH</t>
  </si>
  <si>
    <t>CỘNG HÒA XÃ HỘI CHỦ NGHĨA VIỆT NAM</t>
  </si>
  <si>
    <t>TRƯỜNG CĐN QUẢNG BÌNH</t>
  </si>
  <si>
    <t>Độc lập - Tự do - Hạnh phúc</t>
  </si>
  <si>
    <t>Lớp</t>
  </si>
  <si>
    <t>Giáo viên</t>
  </si>
  <si>
    <t>MH/MĐ</t>
  </si>
  <si>
    <t>CN</t>
  </si>
  <si>
    <t>Tổng</t>
  </si>
  <si>
    <t>SHL</t>
  </si>
  <si>
    <t>Ngày/Thứ</t>
  </si>
  <si>
    <t>Tuần</t>
  </si>
  <si>
    <t>DUYỆT</t>
  </si>
  <si>
    <t>TP ĐÀO TẠO &amp; CTHSSV</t>
  </si>
  <si>
    <t>NGƯỜI LẬP</t>
  </si>
  <si>
    <t>S (1-4)</t>
  </si>
  <si>
    <t>C(6-9)</t>
  </si>
  <si>
    <t>S(1-4)</t>
  </si>
  <si>
    <t>Ca/Tiết</t>
  </si>
  <si>
    <t>Phòng học</t>
  </si>
  <si>
    <t>LỊCH GIẢNG DẠY KHOA ĐIỆN</t>
  </si>
  <si>
    <t>Quảng Bình, ngày  30 tháng 8 năm 2024</t>
  </si>
  <si>
    <t>Dương Thị Nhàn</t>
  </si>
  <si>
    <t>Nguyễn Trường Thi</t>
  </si>
  <si>
    <t>THÁNG 10 - NĂM HỌC 2024 - 2025</t>
  </si>
  <si>
    <t>Giáo dục thể chất</t>
  </si>
  <si>
    <t>Đới Thị Tuyết</t>
  </si>
  <si>
    <t>Sinh hoạt lớp</t>
  </si>
  <si>
    <t>TP. ĐÀO TẠO &amp; CTHSSV</t>
  </si>
  <si>
    <t>`</t>
  </si>
  <si>
    <t>Máy điện</t>
  </si>
  <si>
    <t>Trương Vĩnh Tuấn</t>
  </si>
  <si>
    <t>PLC cơ bản</t>
  </si>
  <si>
    <t>Trần Thị Anh</t>
  </si>
  <si>
    <t>Tiếng anh</t>
  </si>
  <si>
    <t>Phan Thanh Bình</t>
  </si>
  <si>
    <t>Điện tử công suất</t>
  </si>
  <si>
    <t>S(5)</t>
  </si>
  <si>
    <t>TT</t>
  </si>
  <si>
    <t>Tên giáo viên</t>
  </si>
  <si>
    <t>Số giờ giảng dạy</t>
  </si>
  <si>
    <t>Ghi chú</t>
  </si>
  <si>
    <t>I</t>
  </si>
  <si>
    <t>Du lịch-Dịch vụ và Cơ bản</t>
  </si>
  <si>
    <t>1. Coi thi lý thuyết:</t>
  </si>
  <si>
    <t>01 giờ coi thi (LT: 45'; TH: 60') được tính bằng 0,5 giờ chuẩn.</t>
  </si>
  <si>
    <t>Trần Thị</t>
  </si>
  <si>
    <t>Anh</t>
  </si>
  <si>
    <t>2. Chấm thi thực hành:</t>
  </si>
  <si>
    <t>0,4 giờ chuẩn/HSSV</t>
  </si>
  <si>
    <t>3. Chấm thi viết tự luận, thi trắc nghiệm:</t>
  </si>
  <si>
    <t>0,2 giờ chuẩn/bài.</t>
  </si>
  <si>
    <t>4. Chấm thi vấn đáp: 0,4 giờ chuẩn/HSSV.</t>
  </si>
  <si>
    <t>Hoàng Thị</t>
  </si>
  <si>
    <t>Huyền</t>
  </si>
  <si>
    <t>TỔNG HỢP GIỜ GIẢNG DẠY CÁC GIÁO VIÊN                                       NĂM HỌC 2024-2025</t>
  </si>
  <si>
    <t>Trương Vĩnh</t>
  </si>
  <si>
    <t>Tuấn</t>
  </si>
  <si>
    <t>Phan Thanh</t>
  </si>
  <si>
    <t>Bình</t>
  </si>
  <si>
    <t>Đoàn Tuấn</t>
  </si>
  <si>
    <t>Nam</t>
  </si>
  <si>
    <t>Đới Thị</t>
  </si>
  <si>
    <t>Tuyết</t>
  </si>
  <si>
    <t>Dương Văn</t>
  </si>
  <si>
    <t>Tý</t>
  </si>
  <si>
    <t>Nguyễn Trường</t>
  </si>
  <si>
    <t>Thi</t>
  </si>
  <si>
    <t>Đoàn Thanh</t>
  </si>
  <si>
    <t>Tùng</t>
  </si>
  <si>
    <t>Hoàng Trung</t>
  </si>
  <si>
    <t>Dũng</t>
  </si>
  <si>
    <t>Trần Quốc</t>
  </si>
  <si>
    <t>Bảo</t>
  </si>
  <si>
    <t>II</t>
  </si>
  <si>
    <t>Trương Thị Ca</t>
  </si>
  <si>
    <t>Cao Sỹ</t>
  </si>
  <si>
    <t>Linh</t>
  </si>
  <si>
    <t>Dương Thị Tùng</t>
  </si>
  <si>
    <t>Ái</t>
  </si>
  <si>
    <t>Hà Việt</t>
  </si>
  <si>
    <t>Hải</t>
  </si>
  <si>
    <t>III</t>
  </si>
  <si>
    <t>Cơ khí-Động lực</t>
  </si>
  <si>
    <t>KHOA ĐIỆN</t>
  </si>
  <si>
    <t>Xưởng điện</t>
  </si>
  <si>
    <t>Hoàng Thị Huyền</t>
  </si>
  <si>
    <t>Trương Thị Ca Thi</t>
  </si>
  <si>
    <t>Giáo dục chính trị</t>
  </si>
  <si>
    <t xml:space="preserve">ĐIỆN CÔNG NGHIỆP - K28 </t>
  </si>
  <si>
    <t>CĐ - ĐIỆN CÔNG NHIỆP -K7</t>
  </si>
  <si>
    <t>CĐ - ĐIỆN CÔNG NHIỆP -K8</t>
  </si>
  <si>
    <t>Phòng 2.1</t>
  </si>
  <si>
    <t>Tin học</t>
  </si>
  <si>
    <t>Nguyễn Ngọc Đạt</t>
  </si>
  <si>
    <t>Đoàn Tuấn Nam</t>
  </si>
  <si>
    <t>ỦY BAN NHÂN DÂN TỈNH QUẢNG TRỊ</t>
  </si>
  <si>
    <t>CĐ - ĐIỆN CÔNG NHIỆP -K9</t>
  </si>
  <si>
    <t xml:space="preserve"> TC ĐIỆN CÔNG NGHIỆP-K30A</t>
  </si>
  <si>
    <t>TT QUẢNG TRẠCH</t>
  </si>
  <si>
    <t>TT QUẢNG NINH</t>
  </si>
  <si>
    <t>Sinh hoạt</t>
  </si>
  <si>
    <t xml:space="preserve"> TC ĐIỆN CÔNG NGHIỆP-K30B</t>
  </si>
  <si>
    <t>Hà Việt Hải</t>
  </si>
  <si>
    <t>ĐIỆN LẠNH-K31B</t>
  </si>
  <si>
    <t>TT MINH HÓA</t>
  </si>
  <si>
    <t>TRƯỜNG CĐN QUẢNG TRỊ</t>
  </si>
  <si>
    <t>XĐ</t>
  </si>
  <si>
    <t>45/45</t>
  </si>
  <si>
    <t>ĐIỆN CÔNG NGHIỆP -K30C</t>
  </si>
  <si>
    <t>TT HƯỚNG HÓA</t>
  </si>
  <si>
    <t>ĐIỆN LẠNH-K31A</t>
  </si>
  <si>
    <t>16/45</t>
  </si>
  <si>
    <t xml:space="preserve">      Nguyễn Trường Thi</t>
  </si>
  <si>
    <t>48/48</t>
  </si>
  <si>
    <t>NĐN</t>
  </si>
  <si>
    <t>S</t>
  </si>
  <si>
    <t>THÁNG 8 - NĂM HỌC 2026 - 2027</t>
  </si>
  <si>
    <t>CĐLT - ĐIỆN LẠNH -K1</t>
  </si>
  <si>
    <t>CĐ - ĐIỆN CÔNG NHIỆP -K10</t>
  </si>
  <si>
    <t>TC - ĐIỆN CÔNG NHIỆP -K31A</t>
  </si>
  <si>
    <t>TC - ĐIỆN LẠNH-K32A</t>
  </si>
  <si>
    <t>An toàn lao động</t>
  </si>
  <si>
    <t>Vật liệu điện</t>
  </si>
  <si>
    <t>Trương Thùy Dung</t>
  </si>
  <si>
    <t>PLC Cơ bản</t>
  </si>
  <si>
    <t>AutoCAD</t>
  </si>
  <si>
    <t>Pháp luật</t>
  </si>
  <si>
    <t>Dương Tùng Ái</t>
  </si>
  <si>
    <t>Tính toán, thiết kế lắp đặt sơ bộ hệ thống điều hòa không khí</t>
  </si>
  <si>
    <t>08/45</t>
  </si>
  <si>
    <t>08/15</t>
  </si>
  <si>
    <t>C</t>
  </si>
  <si>
    <t xml:space="preserve">   NGƯỜI LẬP</t>
  </si>
  <si>
    <t>10/15</t>
  </si>
  <si>
    <t>8/30</t>
  </si>
  <si>
    <t>8/60</t>
  </si>
  <si>
    <t>Ghép CĐ ĐCN 10</t>
  </si>
  <si>
    <t>8/24</t>
  </si>
  <si>
    <t>08/90</t>
  </si>
  <si>
    <t>12/15</t>
  </si>
  <si>
    <t>Quảng Trị, ngày 14 tháng 8 năm 2026</t>
  </si>
  <si>
    <t>Ghi chú: Các lớp tại trường sinh hoạt tiết 1 sáng thứ 2 hàng tuần</t>
  </si>
  <si>
    <t>THÁNG 9 - NĂM HỌC 2026 - 2027</t>
  </si>
  <si>
    <t>15/15</t>
  </si>
  <si>
    <t>28/45</t>
  </si>
  <si>
    <t>28/90</t>
  </si>
  <si>
    <t>Chuyên đề Điều khiển lập trình cở nhỏ</t>
  </si>
  <si>
    <t>PLC nâng cao</t>
  </si>
  <si>
    <t>Cung cấp điện</t>
  </si>
  <si>
    <t>20/45</t>
  </si>
  <si>
    <t>Khí cụ điện</t>
  </si>
  <si>
    <t>16/30</t>
  </si>
  <si>
    <t>Cơ sở kỹ thuật nhiệt-lạnh và điều hòa không khí</t>
  </si>
  <si>
    <t>24/36</t>
  </si>
  <si>
    <t>Kỹ thuật nguội</t>
  </si>
  <si>
    <t>Trần Xuân Kiều</t>
  </si>
  <si>
    <t>XH</t>
  </si>
  <si>
    <t>Điều khiển điện khí nén</t>
  </si>
  <si>
    <t>24/24</t>
  </si>
  <si>
    <t>27/27</t>
  </si>
  <si>
    <t>30/75</t>
  </si>
  <si>
    <t>cắt 8h ghép lt</t>
  </si>
  <si>
    <t>12/45</t>
  </si>
  <si>
    <t>Quảng Trị, ngày 27 tháng 8 năm 2026</t>
  </si>
  <si>
    <t>32/120</t>
  </si>
  <si>
    <t>Giáo dục quốc phòng và an ninh</t>
  </si>
  <si>
    <t>Cao Sỹ Linh</t>
  </si>
  <si>
    <t>16/75</t>
  </si>
  <si>
    <t>THÁNG 10 - NĂM HỌC 2026 - 2027</t>
  </si>
  <si>
    <t>ĐIỆN CÔNG NGHIỆP-K31B</t>
  </si>
  <si>
    <t>Mạch điện</t>
  </si>
  <si>
    <t>Quảng Trị, ngày 16 tháng 9 năm 2026</t>
  </si>
  <si>
    <t>TT     TRIỆU HẢI</t>
  </si>
  <si>
    <t>30/30</t>
  </si>
  <si>
    <t>40/90</t>
  </si>
  <si>
    <t>36/45</t>
  </si>
  <si>
    <t>32/45</t>
  </si>
  <si>
    <t>64/120</t>
  </si>
  <si>
    <t>35/35</t>
  </si>
  <si>
    <t>70/75</t>
  </si>
  <si>
    <t>TC ĐIỆN CÔNG NGHIỆP K31C</t>
  </si>
  <si>
    <t>Quảng Trị, ngày 02 tháng 10 năm 2026</t>
  </si>
  <si>
    <t>TC ĐIỆN CÔNG NGHIỆP K31D</t>
  </si>
  <si>
    <t>Hoàng Trung Dũng</t>
  </si>
  <si>
    <t>THÁNG 11 - NĂM HỌC 2026 - 2027</t>
  </si>
  <si>
    <t>THÁNG 12 - NĂM HỌC 2026 - 2027</t>
  </si>
  <si>
    <t>THÁNG 1/2027 - NĂM HỌC 2026 - 2027</t>
  </si>
  <si>
    <t>40/60</t>
  </si>
  <si>
    <t>56/60</t>
  </si>
  <si>
    <t>60/60</t>
  </si>
  <si>
    <t>32/75</t>
  </si>
  <si>
    <t>48/75</t>
  </si>
  <si>
    <t>75/75</t>
  </si>
  <si>
    <t>60/75</t>
  </si>
  <si>
    <t>16/90</t>
  </si>
  <si>
    <t>32/90</t>
  </si>
  <si>
    <t>50/90</t>
  </si>
  <si>
    <t>75/90</t>
  </si>
  <si>
    <t>90/90</t>
  </si>
  <si>
    <t>Đo lường điện</t>
  </si>
  <si>
    <t>04/36</t>
  </si>
  <si>
    <t>Dương Thị Tùng Ái</t>
  </si>
  <si>
    <t>S (1-5)</t>
  </si>
  <si>
    <t>C(6-10)</t>
  </si>
  <si>
    <t>36/36</t>
  </si>
  <si>
    <t>Hệ thống máy lạnh dân dụng và thương nghiệp</t>
  </si>
  <si>
    <t>Trần Quốc Bảo</t>
  </si>
  <si>
    <t>56/90</t>
  </si>
  <si>
    <t>Điện tử chuyên ngành</t>
  </si>
  <si>
    <t>76/90</t>
  </si>
  <si>
    <t>Hệ thống ĐHKK cục bộ</t>
  </si>
  <si>
    <t>Hệ thống ĐHKK Trung tâm</t>
  </si>
  <si>
    <t>Hệ thống lạnh CN</t>
  </si>
  <si>
    <t>Chuyên đề ĐHKK trên xe ô tô</t>
  </si>
  <si>
    <t>ĐIỆN LẠNH-K32C</t>
  </si>
  <si>
    <t>T(11-14)</t>
  </si>
  <si>
    <t>TC ĐIỆN CÔNG NGHIỆP K31E</t>
  </si>
  <si>
    <t>TT BA ĐỒN</t>
  </si>
  <si>
    <t>24/45</t>
  </si>
  <si>
    <t>TC ĐIỆN CÔNG NGHIỆP K31G</t>
  </si>
  <si>
    <t>TC ĐIỆN CÔNG NGHIỆP K31H</t>
  </si>
  <si>
    <t>TT     GIO LINH</t>
  </si>
  <si>
    <t>ĐIỆN LẠNH-K32B</t>
  </si>
  <si>
    <t>96/120</t>
  </si>
  <si>
    <t>120/120</t>
  </si>
  <si>
    <t>25/45</t>
  </si>
  <si>
    <t>Kỹ thuật xung-số</t>
  </si>
  <si>
    <t>S(1-5)</t>
  </si>
  <si>
    <t>20</t>
  </si>
  <si>
    <t>20/40</t>
  </si>
  <si>
    <t>40/40</t>
  </si>
  <si>
    <t>dạy đủ</t>
  </si>
  <si>
    <t>Hệ thống máy lạnh công nghiệp</t>
  </si>
  <si>
    <t>20/75</t>
  </si>
  <si>
    <t>25/25</t>
  </si>
  <si>
    <t>Thiết bị điện gia dụng</t>
  </si>
  <si>
    <t>09/45</t>
  </si>
  <si>
    <t>78/90</t>
  </si>
  <si>
    <t>39/90</t>
  </si>
  <si>
    <t>64/75</t>
  </si>
  <si>
    <t>Hệ thống điều hòa không khí trung tâm</t>
  </si>
  <si>
    <t>20/20</t>
  </si>
  <si>
    <t>ĐIỆN LẠNH-K32D</t>
  </si>
  <si>
    <t>Lê Quốc Hoàng</t>
  </si>
  <si>
    <t>TT LỆ THỦY</t>
  </si>
  <si>
    <t>Quảng Trị, ngày 14 tháng 10 năm 2026</t>
  </si>
  <si>
    <t>40/70</t>
  </si>
  <si>
    <t>70/70</t>
  </si>
  <si>
    <t>Trang bị điện</t>
  </si>
  <si>
    <t>S(1-45)</t>
  </si>
  <si>
    <t>Lạnh cơ bản</t>
  </si>
  <si>
    <t>10/40</t>
  </si>
  <si>
    <t>20/60</t>
  </si>
  <si>
    <t>26/26</t>
  </si>
  <si>
    <t>76/76</t>
  </si>
  <si>
    <t>39/39</t>
  </si>
  <si>
    <t>TC ĐIỆN CÔNG NGHIỆP K31F</t>
  </si>
  <si>
    <t>10/20</t>
  </si>
  <si>
    <t>15</t>
  </si>
  <si>
    <t>40/75</t>
  </si>
  <si>
    <t>05/75</t>
  </si>
  <si>
    <t>12/24</t>
  </si>
  <si>
    <t>16/16</t>
  </si>
  <si>
    <t>28/28</t>
  </si>
  <si>
    <t>Cơ sở kỹ thuật nhiệt - lạnh và điều hòa không khí</t>
  </si>
  <si>
    <t>32/32</t>
  </si>
  <si>
    <t>12/12</t>
  </si>
  <si>
    <t>16/32</t>
  </si>
  <si>
    <t>36/60</t>
  </si>
  <si>
    <t>Quảng Trị, ngày 27 tháng 10 năm 2026</t>
  </si>
  <si>
    <t>112/112</t>
  </si>
  <si>
    <t>24/112</t>
  </si>
  <si>
    <t>76/112</t>
  </si>
  <si>
    <t>36/75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</si>
</sst>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4"/>
      <color theme="1"/>
      <name val="Times New Roman"/>
      <family val="2"/>
      <charset val="163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i/>
      <sz val="14"/>
      <name val="Times New Roman"/>
      <family val="1"/>
    </font>
    <font>
      <sz val="11"/>
      <name val="Times New Roman"/>
      <family val="1"/>
    </font>
    <font>
      <sz val="14"/>
      <color theme="1"/>
      <name val="Times New Roman"/>
      <family val="2"/>
    </font>
    <font>
      <i/>
      <sz val="12"/>
      <color theme="1"/>
      <name val="Times New Roman"/>
      <family val="1"/>
    </font>
    <font>
      <b/>
      <sz val="9"/>
      <name val="Times New Roman"/>
      <family val="1"/>
    </font>
    <font>
      <b/>
      <sz val="9"/>
      <color rgb="FFFF0000"/>
      <name val="Times New Roman"/>
      <family val="1"/>
    </font>
    <font>
      <sz val="12"/>
      <color rgb="FF00B0F0"/>
      <name val="Times New Roman"/>
      <family val="1"/>
    </font>
    <font>
      <sz val="8"/>
      <name val="Times New Roman"/>
      <family val="2"/>
      <charset val="163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7" fillId="0" borderId="0"/>
    <xf numFmtId="0" fontId="1" fillId="0" borderId="0"/>
  </cellStyleXfs>
  <cellXfs count="153">
    <xf numFmtId="0" fontId="0" fillId="0" borderId="0" xfId="0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2" xfId="0" applyFont="1" applyBorder="1"/>
    <xf numFmtId="0" fontId="11" fillId="0" borderId="3" xfId="0" applyFont="1" applyBorder="1"/>
    <xf numFmtId="0" fontId="11" fillId="0" borderId="1" xfId="0" applyFont="1" applyBorder="1"/>
    <xf numFmtId="0" fontId="11" fillId="0" borderId="8" xfId="0" applyFont="1" applyBorder="1" applyAlignment="1">
      <alignment horizontal="center"/>
    </xf>
    <xf numFmtId="0" fontId="11" fillId="0" borderId="9" xfId="0" applyFont="1" applyBorder="1"/>
    <xf numFmtId="0" fontId="3" fillId="0" borderId="10" xfId="0" applyFont="1" applyBorder="1"/>
    <xf numFmtId="0" fontId="11" fillId="0" borderId="8" xfId="0" applyFont="1" applyBorder="1"/>
    <xf numFmtId="0" fontId="11" fillId="0" borderId="0" xfId="0" quotePrefix="1" applyFont="1"/>
    <xf numFmtId="0" fontId="11" fillId="0" borderId="11" xfId="0" applyFont="1" applyBorder="1" applyAlignment="1">
      <alignment horizontal="center"/>
    </xf>
    <xf numFmtId="0" fontId="11" fillId="0" borderId="12" xfId="0" applyFont="1" applyBorder="1"/>
    <xf numFmtId="0" fontId="3" fillId="0" borderId="13" xfId="0" applyFont="1" applyBorder="1"/>
    <xf numFmtId="0" fontId="11" fillId="0" borderId="11" xfId="0" applyFont="1" applyBorder="1"/>
    <xf numFmtId="0" fontId="11" fillId="0" borderId="14" xfId="0" applyFont="1" applyBorder="1"/>
    <xf numFmtId="0" fontId="3" fillId="0" borderId="15" xfId="0" applyFont="1" applyBorder="1"/>
    <xf numFmtId="0" fontId="11" fillId="0" borderId="16" xfId="0" applyFont="1" applyBorder="1" applyAlignment="1">
      <alignment horizontal="center"/>
    </xf>
    <xf numFmtId="0" fontId="11" fillId="0" borderId="16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6" fillId="0" borderId="0" xfId="0" applyFont="1"/>
    <xf numFmtId="0" fontId="14" fillId="0" borderId="0" xfId="0" applyFont="1"/>
    <xf numFmtId="0" fontId="10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9" fillId="0" borderId="0" xfId="0" applyFont="1"/>
    <xf numFmtId="0" fontId="8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9" fillId="0" borderId="1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7" fontId="8" fillId="0" borderId="1" xfId="0" quotePrefix="1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3" fillId="0" borderId="0" xfId="0" applyFont="1"/>
    <xf numFmtId="0" fontId="15" fillId="0" borderId="0" xfId="0" applyFont="1"/>
    <xf numFmtId="0" fontId="8" fillId="0" borderId="6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8" fillId="0" borderId="17" xfId="2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1" xfId="0" applyFont="1" applyBorder="1" applyAlignment="1">
      <alignment horizontal="center" vertical="center"/>
    </xf>
    <xf numFmtId="17" fontId="19" fillId="0" borderId="1" xfId="0" quotePrefix="1" applyNumberFormat="1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center" vertical="center"/>
    </xf>
    <xf numFmtId="16" fontId="19" fillId="0" borderId="1" xfId="0" quotePrefix="1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9" fillId="0" borderId="7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23" fillId="0" borderId="0" xfId="0" applyFont="1"/>
    <xf numFmtId="0" fontId="16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19" fillId="0" borderId="7" xfId="0" quotePrefix="1" applyFont="1" applyBorder="1" applyAlignment="1">
      <alignment horizontal="center" vertical="center"/>
    </xf>
    <xf numFmtId="0" fontId="9" fillId="0" borderId="1" xfId="0" applyFont="1" applyBorder="1"/>
    <xf numFmtId="0" fontId="9" fillId="0" borderId="5" xfId="0" applyFont="1" applyBorder="1" applyAlignment="1">
      <alignment vertical="center" wrapText="1"/>
    </xf>
    <xf numFmtId="0" fontId="19" fillId="0" borderId="7" xfId="0" applyFont="1" applyBorder="1" applyAlignment="1">
      <alignment horizontal="center" vertical="center"/>
    </xf>
    <xf numFmtId="0" fontId="19" fillId="0" borderId="1" xfId="0" quotePrefix="1" applyFont="1" applyBorder="1" applyAlignment="1">
      <alignment vertical="center"/>
    </xf>
    <xf numFmtId="16" fontId="9" fillId="0" borderId="1" xfId="0" quotePrefix="1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9" fillId="0" borderId="4" xfId="0" quotePrefix="1" applyFont="1" applyBorder="1" applyAlignment="1">
      <alignment horizontal="center" vertical="center"/>
    </xf>
    <xf numFmtId="0" fontId="19" fillId="0" borderId="5" xfId="0" quotePrefix="1" applyFont="1" applyBorder="1" applyAlignment="1">
      <alignment horizontal="center" vertical="center"/>
    </xf>
    <xf numFmtId="17" fontId="19" fillId="0" borderId="4" xfId="0" quotePrefix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9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17" fontId="19" fillId="0" borderId="1" xfId="0" quotePrefix="1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7" fontId="9" fillId="0" borderId="4" xfId="0" quotePrefix="1" applyNumberFormat="1" applyFont="1" applyBorder="1" applyAlignment="1">
      <alignment horizontal="center" vertical="center"/>
    </xf>
    <xf numFmtId="17" fontId="9" fillId="0" borderId="5" xfId="0" quotePrefix="1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17" fontId="19" fillId="0" borderId="5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9" fillId="2" borderId="7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065E360A-1AC3-42FE-B851-06E58238F991}"/>
    <cellStyle name="Normal 3" xfId="2" xr:uid="{4CB4A779-02C1-47DA-8B06-9BBCE41C31F4}"/>
    <cellStyle name="Normal 4" xfId="3" xr:uid="{EC6C1D33-7892-4566-807F-A31135138D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</xdr:colOff>
      <xdr:row>2</xdr:row>
      <xdr:rowOff>0</xdr:rowOff>
    </xdr:from>
    <xdr:to>
      <xdr:col>2</xdr:col>
      <xdr:colOff>778965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B12E6CD-2FAC-4704-9735-B8EE5C240648}"/>
            </a:ext>
          </a:extLst>
        </xdr:cNvPr>
        <xdr:cNvCxnSpPr/>
      </xdr:nvCxnSpPr>
      <xdr:spPr>
        <a:xfrm flipV="1">
          <a:off x="1131570" y="4381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221688</xdr:colOff>
      <xdr:row>2</xdr:row>
      <xdr:rowOff>7620</xdr:rowOff>
    </xdr:from>
    <xdr:to>
      <xdr:col>13</xdr:col>
      <xdr:colOff>258496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01201E2-D396-4068-9DD4-2388DABAAAC9}"/>
            </a:ext>
          </a:extLst>
        </xdr:cNvPr>
        <xdr:cNvCxnSpPr/>
      </xdr:nvCxnSpPr>
      <xdr:spPr>
        <a:xfrm>
          <a:off x="5734887" y="443510"/>
          <a:ext cx="1828800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340995</xdr:colOff>
      <xdr:row>43</xdr:row>
      <xdr:rowOff>0</xdr:rowOff>
    </xdr:from>
    <xdr:to>
      <xdr:col>2</xdr:col>
      <xdr:colOff>1026615</xdr:colOff>
      <xdr:row>43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BC4F415-9697-4280-8EB0-BF3F8FF2056F}"/>
            </a:ext>
          </a:extLst>
        </xdr:cNvPr>
        <xdr:cNvCxnSpPr/>
      </xdr:nvCxnSpPr>
      <xdr:spPr>
        <a:xfrm flipV="1">
          <a:off x="1379220" y="1725930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36194</xdr:colOff>
      <xdr:row>43</xdr:row>
      <xdr:rowOff>7620</xdr:rowOff>
    </xdr:from>
    <xdr:to>
      <xdr:col>19</xdr:col>
      <xdr:colOff>0</xdr:colOff>
      <xdr:row>43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0685159-B847-4910-AB36-E7DA7417AC47}"/>
            </a:ext>
          </a:extLst>
        </xdr:cNvPr>
        <xdr:cNvCxnSpPr/>
      </xdr:nvCxnSpPr>
      <xdr:spPr>
        <a:xfrm flipV="1">
          <a:off x="7303769" y="17259300"/>
          <a:ext cx="14132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</xdr:colOff>
      <xdr:row>2</xdr:row>
      <xdr:rowOff>0</xdr:rowOff>
    </xdr:from>
    <xdr:to>
      <xdr:col>2</xdr:col>
      <xdr:colOff>778965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4DAA87B-971F-4C3D-8371-8EF9D41F7569}"/>
            </a:ext>
          </a:extLst>
        </xdr:cNvPr>
        <xdr:cNvCxnSpPr/>
      </xdr:nvCxnSpPr>
      <xdr:spPr>
        <a:xfrm flipV="1">
          <a:off x="1007745" y="4381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140969</xdr:colOff>
      <xdr:row>2</xdr:row>
      <xdr:rowOff>7620</xdr:rowOff>
    </xdr:from>
    <xdr:to>
      <xdr:col>26</xdr:col>
      <xdr:colOff>85725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71344A0-55C4-4652-8DB4-4C6EEA39859B}"/>
            </a:ext>
          </a:extLst>
        </xdr:cNvPr>
        <xdr:cNvCxnSpPr/>
      </xdr:nvCxnSpPr>
      <xdr:spPr>
        <a:xfrm>
          <a:off x="6656069" y="445770"/>
          <a:ext cx="1659256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340995</xdr:colOff>
      <xdr:row>24</xdr:row>
      <xdr:rowOff>0</xdr:rowOff>
    </xdr:from>
    <xdr:to>
      <xdr:col>2</xdr:col>
      <xdr:colOff>1026615</xdr:colOff>
      <xdr:row>24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B3308A3-AF3A-4437-9DC9-D41F5E9CC284}"/>
            </a:ext>
          </a:extLst>
        </xdr:cNvPr>
        <xdr:cNvCxnSpPr/>
      </xdr:nvCxnSpPr>
      <xdr:spPr>
        <a:xfrm flipV="1">
          <a:off x="1255395" y="18945225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36194</xdr:colOff>
      <xdr:row>24</xdr:row>
      <xdr:rowOff>7620</xdr:rowOff>
    </xdr:from>
    <xdr:to>
      <xdr:col>25</xdr:col>
      <xdr:colOff>182654</xdr:colOff>
      <xdr:row>24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22DE25C-8D97-4D19-BD14-DA8B4E9DB546}"/>
            </a:ext>
          </a:extLst>
        </xdr:cNvPr>
        <xdr:cNvCxnSpPr/>
      </xdr:nvCxnSpPr>
      <xdr:spPr>
        <a:xfrm flipV="1">
          <a:off x="6894194" y="18945225"/>
          <a:ext cx="13370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</xdr:colOff>
      <xdr:row>2</xdr:row>
      <xdr:rowOff>0</xdr:rowOff>
    </xdr:from>
    <xdr:to>
      <xdr:col>2</xdr:col>
      <xdr:colOff>778965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BAA2E96-2DAA-478E-8CFD-B5643E635777}"/>
            </a:ext>
          </a:extLst>
        </xdr:cNvPr>
        <xdr:cNvCxnSpPr/>
      </xdr:nvCxnSpPr>
      <xdr:spPr>
        <a:xfrm flipV="1">
          <a:off x="1131570" y="4381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140969</xdr:colOff>
      <xdr:row>2</xdr:row>
      <xdr:rowOff>7620</xdr:rowOff>
    </xdr:from>
    <xdr:to>
      <xdr:col>26</xdr:col>
      <xdr:colOff>85725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E017D05-A177-428A-9F70-E1A49C229F04}"/>
            </a:ext>
          </a:extLst>
        </xdr:cNvPr>
        <xdr:cNvCxnSpPr/>
      </xdr:nvCxnSpPr>
      <xdr:spPr>
        <a:xfrm>
          <a:off x="7046594" y="445770"/>
          <a:ext cx="1754506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340995</xdr:colOff>
      <xdr:row>65</xdr:row>
      <xdr:rowOff>0</xdr:rowOff>
    </xdr:from>
    <xdr:to>
      <xdr:col>2</xdr:col>
      <xdr:colOff>1026615</xdr:colOff>
      <xdr:row>65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5766A35-D3AA-4295-AE1B-428391ACFC04}"/>
            </a:ext>
          </a:extLst>
        </xdr:cNvPr>
        <xdr:cNvCxnSpPr/>
      </xdr:nvCxnSpPr>
      <xdr:spPr>
        <a:xfrm flipV="1">
          <a:off x="1379220" y="16316325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36194</xdr:colOff>
      <xdr:row>65</xdr:row>
      <xdr:rowOff>7620</xdr:rowOff>
    </xdr:from>
    <xdr:to>
      <xdr:col>25</xdr:col>
      <xdr:colOff>182654</xdr:colOff>
      <xdr:row>65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5758F27-811E-429E-8142-1CC354C331F2}"/>
            </a:ext>
          </a:extLst>
        </xdr:cNvPr>
        <xdr:cNvCxnSpPr/>
      </xdr:nvCxnSpPr>
      <xdr:spPr>
        <a:xfrm flipV="1">
          <a:off x="7303769" y="16316325"/>
          <a:ext cx="14132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</xdr:colOff>
      <xdr:row>2</xdr:row>
      <xdr:rowOff>0</xdr:rowOff>
    </xdr:from>
    <xdr:to>
      <xdr:col>2</xdr:col>
      <xdr:colOff>778965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6F5A4EF-4A41-48E0-B148-3BDE47027E7B}"/>
            </a:ext>
          </a:extLst>
        </xdr:cNvPr>
        <xdr:cNvCxnSpPr/>
      </xdr:nvCxnSpPr>
      <xdr:spPr>
        <a:xfrm flipV="1">
          <a:off x="1007745" y="4381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140969</xdr:colOff>
      <xdr:row>2</xdr:row>
      <xdr:rowOff>7620</xdr:rowOff>
    </xdr:from>
    <xdr:to>
      <xdr:col>26</xdr:col>
      <xdr:colOff>85725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5113044-1B05-498E-9042-52BBC392E55A}"/>
            </a:ext>
          </a:extLst>
        </xdr:cNvPr>
        <xdr:cNvCxnSpPr/>
      </xdr:nvCxnSpPr>
      <xdr:spPr>
        <a:xfrm>
          <a:off x="6656069" y="445770"/>
          <a:ext cx="1659256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340995</xdr:colOff>
      <xdr:row>68</xdr:row>
      <xdr:rowOff>0</xdr:rowOff>
    </xdr:from>
    <xdr:to>
      <xdr:col>2</xdr:col>
      <xdr:colOff>1026615</xdr:colOff>
      <xdr:row>68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47D963C-2C68-4A9D-9E04-50D40D57DB89}"/>
            </a:ext>
          </a:extLst>
        </xdr:cNvPr>
        <xdr:cNvCxnSpPr/>
      </xdr:nvCxnSpPr>
      <xdr:spPr>
        <a:xfrm flipV="1">
          <a:off x="1255395" y="18507075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36194</xdr:colOff>
      <xdr:row>68</xdr:row>
      <xdr:rowOff>7620</xdr:rowOff>
    </xdr:from>
    <xdr:to>
      <xdr:col>25</xdr:col>
      <xdr:colOff>182654</xdr:colOff>
      <xdr:row>68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83E42A1-9B02-41D8-811D-EBC98EEF6AA4}"/>
            </a:ext>
          </a:extLst>
        </xdr:cNvPr>
        <xdr:cNvCxnSpPr/>
      </xdr:nvCxnSpPr>
      <xdr:spPr>
        <a:xfrm flipV="1">
          <a:off x="6894194" y="18507075"/>
          <a:ext cx="13370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</xdr:colOff>
      <xdr:row>2</xdr:row>
      <xdr:rowOff>0</xdr:rowOff>
    </xdr:from>
    <xdr:to>
      <xdr:col>2</xdr:col>
      <xdr:colOff>778965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4322D73-FCE8-4543-94EF-3318A4685C75}"/>
            </a:ext>
          </a:extLst>
        </xdr:cNvPr>
        <xdr:cNvCxnSpPr/>
      </xdr:nvCxnSpPr>
      <xdr:spPr>
        <a:xfrm flipV="1">
          <a:off x="1007745" y="4381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140969</xdr:colOff>
      <xdr:row>2</xdr:row>
      <xdr:rowOff>7620</xdr:rowOff>
    </xdr:from>
    <xdr:to>
      <xdr:col>26</xdr:col>
      <xdr:colOff>85725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2196C46-2773-4C68-A0CB-77FE07421A85}"/>
            </a:ext>
          </a:extLst>
        </xdr:cNvPr>
        <xdr:cNvCxnSpPr/>
      </xdr:nvCxnSpPr>
      <xdr:spPr>
        <a:xfrm>
          <a:off x="6960869" y="445770"/>
          <a:ext cx="1945006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340995</xdr:colOff>
      <xdr:row>34</xdr:row>
      <xdr:rowOff>0</xdr:rowOff>
    </xdr:from>
    <xdr:to>
      <xdr:col>2</xdr:col>
      <xdr:colOff>1026615</xdr:colOff>
      <xdr:row>34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2431E6E-D347-473F-A367-4E9C15F72E8E}"/>
            </a:ext>
          </a:extLst>
        </xdr:cNvPr>
        <xdr:cNvCxnSpPr/>
      </xdr:nvCxnSpPr>
      <xdr:spPr>
        <a:xfrm flipV="1">
          <a:off x="1255395" y="20945475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36194</xdr:colOff>
      <xdr:row>34</xdr:row>
      <xdr:rowOff>7620</xdr:rowOff>
    </xdr:from>
    <xdr:to>
      <xdr:col>25</xdr:col>
      <xdr:colOff>182654</xdr:colOff>
      <xdr:row>34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65AD208-800B-4E25-B2DB-FAF7A027C994}"/>
            </a:ext>
          </a:extLst>
        </xdr:cNvPr>
        <xdr:cNvCxnSpPr/>
      </xdr:nvCxnSpPr>
      <xdr:spPr>
        <a:xfrm flipV="1">
          <a:off x="7256144" y="20945475"/>
          <a:ext cx="15466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</xdr:colOff>
      <xdr:row>2</xdr:row>
      <xdr:rowOff>0</xdr:rowOff>
    </xdr:from>
    <xdr:to>
      <xdr:col>2</xdr:col>
      <xdr:colOff>778965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0FAD71A-1AE8-4CEF-96A7-1CF50A12F263}"/>
            </a:ext>
          </a:extLst>
        </xdr:cNvPr>
        <xdr:cNvCxnSpPr/>
      </xdr:nvCxnSpPr>
      <xdr:spPr>
        <a:xfrm flipV="1">
          <a:off x="1007745" y="4381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140969</xdr:colOff>
      <xdr:row>2</xdr:row>
      <xdr:rowOff>7620</xdr:rowOff>
    </xdr:from>
    <xdr:to>
      <xdr:col>26</xdr:col>
      <xdr:colOff>85725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257DC5E-268F-46E4-95D3-6C923AC15AF7}"/>
            </a:ext>
          </a:extLst>
        </xdr:cNvPr>
        <xdr:cNvCxnSpPr/>
      </xdr:nvCxnSpPr>
      <xdr:spPr>
        <a:xfrm>
          <a:off x="6960869" y="445770"/>
          <a:ext cx="1945006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340995</xdr:colOff>
      <xdr:row>98</xdr:row>
      <xdr:rowOff>0</xdr:rowOff>
    </xdr:from>
    <xdr:to>
      <xdr:col>2</xdr:col>
      <xdr:colOff>1026615</xdr:colOff>
      <xdr:row>98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0E32D22-16AA-4D93-A20C-1C9188FF4B36}"/>
            </a:ext>
          </a:extLst>
        </xdr:cNvPr>
        <xdr:cNvCxnSpPr/>
      </xdr:nvCxnSpPr>
      <xdr:spPr>
        <a:xfrm flipV="1">
          <a:off x="1255395" y="215074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36194</xdr:colOff>
      <xdr:row>98</xdr:row>
      <xdr:rowOff>7620</xdr:rowOff>
    </xdr:from>
    <xdr:to>
      <xdr:col>25</xdr:col>
      <xdr:colOff>182654</xdr:colOff>
      <xdr:row>98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6170D18-143E-4D15-BDE3-6DD11AC3AC74}"/>
            </a:ext>
          </a:extLst>
        </xdr:cNvPr>
        <xdr:cNvCxnSpPr/>
      </xdr:nvCxnSpPr>
      <xdr:spPr>
        <a:xfrm flipV="1">
          <a:off x="7256144" y="21507450"/>
          <a:ext cx="15466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</xdr:colOff>
      <xdr:row>2</xdr:row>
      <xdr:rowOff>0</xdr:rowOff>
    </xdr:from>
    <xdr:to>
      <xdr:col>2</xdr:col>
      <xdr:colOff>778965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46464AB-03DC-4C0A-93F8-FC6818C5D13C}"/>
            </a:ext>
          </a:extLst>
        </xdr:cNvPr>
        <xdr:cNvCxnSpPr/>
      </xdr:nvCxnSpPr>
      <xdr:spPr>
        <a:xfrm flipV="1">
          <a:off x="1007745" y="4381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140969</xdr:colOff>
      <xdr:row>2</xdr:row>
      <xdr:rowOff>15692</xdr:rowOff>
    </xdr:from>
    <xdr:to>
      <xdr:col>31</xdr:col>
      <xdr:colOff>5359</xdr:colOff>
      <xdr:row>2</xdr:row>
      <xdr:rowOff>17597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1BF1192-5A58-4911-BF37-8EEF1CE35010}"/>
            </a:ext>
          </a:extLst>
        </xdr:cNvPr>
        <xdr:cNvCxnSpPr/>
      </xdr:nvCxnSpPr>
      <xdr:spPr>
        <a:xfrm>
          <a:off x="7583384" y="451582"/>
          <a:ext cx="2286000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340995</xdr:colOff>
      <xdr:row>79</xdr:row>
      <xdr:rowOff>0</xdr:rowOff>
    </xdr:from>
    <xdr:to>
      <xdr:col>2</xdr:col>
      <xdr:colOff>1026615</xdr:colOff>
      <xdr:row>79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6C953AE-2DF9-4C35-8225-C3B274FCE5FA}"/>
            </a:ext>
          </a:extLst>
        </xdr:cNvPr>
        <xdr:cNvCxnSpPr/>
      </xdr:nvCxnSpPr>
      <xdr:spPr>
        <a:xfrm flipV="1">
          <a:off x="1255395" y="215074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36194</xdr:colOff>
      <xdr:row>79</xdr:row>
      <xdr:rowOff>7620</xdr:rowOff>
    </xdr:from>
    <xdr:to>
      <xdr:col>25</xdr:col>
      <xdr:colOff>182654</xdr:colOff>
      <xdr:row>79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B179112-7994-4CBA-94F6-062F4EDFD6C4}"/>
            </a:ext>
          </a:extLst>
        </xdr:cNvPr>
        <xdr:cNvCxnSpPr/>
      </xdr:nvCxnSpPr>
      <xdr:spPr>
        <a:xfrm flipV="1">
          <a:off x="7256144" y="21507450"/>
          <a:ext cx="15466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</xdr:colOff>
      <xdr:row>2</xdr:row>
      <xdr:rowOff>0</xdr:rowOff>
    </xdr:from>
    <xdr:to>
      <xdr:col>2</xdr:col>
      <xdr:colOff>778965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ADBC239-DAEA-42A7-854F-139B55553AE0}"/>
            </a:ext>
          </a:extLst>
        </xdr:cNvPr>
        <xdr:cNvCxnSpPr/>
      </xdr:nvCxnSpPr>
      <xdr:spPr>
        <a:xfrm flipV="1">
          <a:off x="1007745" y="4381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140969</xdr:colOff>
      <xdr:row>2</xdr:row>
      <xdr:rowOff>7620</xdr:rowOff>
    </xdr:from>
    <xdr:to>
      <xdr:col>26</xdr:col>
      <xdr:colOff>85725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9162ACF-AE19-4CD8-98E2-56F60C144F91}"/>
            </a:ext>
          </a:extLst>
        </xdr:cNvPr>
        <xdr:cNvCxnSpPr/>
      </xdr:nvCxnSpPr>
      <xdr:spPr>
        <a:xfrm>
          <a:off x="6960869" y="445770"/>
          <a:ext cx="1945006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340995</xdr:colOff>
      <xdr:row>69</xdr:row>
      <xdr:rowOff>0</xdr:rowOff>
    </xdr:from>
    <xdr:to>
      <xdr:col>2</xdr:col>
      <xdr:colOff>1026615</xdr:colOff>
      <xdr:row>69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3C3538A-AD32-4ADD-A3EF-7DD340920E4E}"/>
            </a:ext>
          </a:extLst>
        </xdr:cNvPr>
        <xdr:cNvCxnSpPr/>
      </xdr:nvCxnSpPr>
      <xdr:spPr>
        <a:xfrm flipV="1">
          <a:off x="1255395" y="2167890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36194</xdr:colOff>
      <xdr:row>69</xdr:row>
      <xdr:rowOff>7620</xdr:rowOff>
    </xdr:from>
    <xdr:to>
      <xdr:col>25</xdr:col>
      <xdr:colOff>182654</xdr:colOff>
      <xdr:row>69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3E35E26-75E8-4C67-8718-14FFFFB61DBA}"/>
            </a:ext>
          </a:extLst>
        </xdr:cNvPr>
        <xdr:cNvCxnSpPr/>
      </xdr:nvCxnSpPr>
      <xdr:spPr>
        <a:xfrm flipV="1">
          <a:off x="7256144" y="21678900"/>
          <a:ext cx="15466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7C52-17B8-452C-95CC-D119A135CCC0}">
  <dimension ref="A1:V82"/>
  <sheetViews>
    <sheetView topLeftCell="A18" zoomScale="118" zoomScaleNormal="118" workbookViewId="0">
      <selection activeCell="T25" sqref="T25"/>
    </sheetView>
  </sheetViews>
  <sheetFormatPr defaultRowHeight="18.75" x14ac:dyDescent="0.3"/>
  <cols>
    <col min="1" max="1" width="12.109375" style="30" customWidth="1"/>
    <col min="2" max="2" width="15.21875" style="30" customWidth="1"/>
    <col min="3" max="3" width="15" style="30" customWidth="1"/>
    <col min="4" max="4" width="8.77734375" style="4" customWidth="1"/>
    <col min="5" max="5" width="6.21875" style="4" customWidth="1"/>
    <col min="6" max="19" width="3.44140625" style="30" customWidth="1"/>
    <col min="20" max="20" width="5.44140625" style="4" customWidth="1"/>
    <col min="21" max="21" width="8" style="48" customWidth="1"/>
    <col min="22" max="22" width="10.88671875" style="30" customWidth="1"/>
    <col min="23" max="16384" width="8.88671875" style="30"/>
  </cols>
  <sheetData>
    <row r="1" spans="1:22" s="27" customFormat="1" ht="18" customHeight="1" x14ac:dyDescent="0.25">
      <c r="A1" s="98" t="s">
        <v>96</v>
      </c>
      <c r="B1" s="98"/>
      <c r="C1" s="98"/>
      <c r="D1" s="98"/>
      <c r="E1" s="3"/>
      <c r="F1" s="49" t="s">
        <v>1</v>
      </c>
      <c r="L1" s="49"/>
      <c r="M1" s="49"/>
      <c r="N1" s="49"/>
      <c r="O1" s="49"/>
      <c r="P1" s="49"/>
      <c r="Q1" s="49"/>
      <c r="R1" s="49"/>
      <c r="S1" s="49"/>
      <c r="T1" s="43"/>
      <c r="U1" s="48"/>
    </row>
    <row r="2" spans="1:22" s="27" customFormat="1" ht="16.5" customHeight="1" x14ac:dyDescent="0.3">
      <c r="A2" s="97" t="s">
        <v>106</v>
      </c>
      <c r="B2" s="97"/>
      <c r="C2" s="97"/>
      <c r="D2" s="97"/>
      <c r="E2" s="3"/>
      <c r="H2" s="29" t="s">
        <v>3</v>
      </c>
      <c r="L2" s="29"/>
      <c r="M2" s="29"/>
      <c r="N2" s="29"/>
      <c r="O2" s="29"/>
      <c r="P2" s="29"/>
      <c r="Q2" s="29"/>
      <c r="R2" s="29"/>
      <c r="S2" s="29"/>
      <c r="T2" s="43"/>
      <c r="U2" s="48"/>
    </row>
    <row r="3" spans="1:22" ht="12" customHeight="1" x14ac:dyDescent="0.3"/>
    <row r="4" spans="1:22" ht="18.75" customHeight="1" x14ac:dyDescent="0.3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</row>
    <row r="5" spans="1:22" ht="16.5" customHeight="1" x14ac:dyDescent="0.3">
      <c r="A5" s="97" t="s">
        <v>117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</row>
    <row r="6" spans="1:22" ht="1.5" customHeight="1" x14ac:dyDescent="0.3"/>
    <row r="7" spans="1:22" s="32" customFormat="1" ht="16.5" customHeight="1" x14ac:dyDescent="0.25">
      <c r="A7" s="102" t="s">
        <v>4</v>
      </c>
      <c r="B7" s="102" t="s">
        <v>6</v>
      </c>
      <c r="C7" s="103" t="s">
        <v>11</v>
      </c>
      <c r="D7" s="104"/>
      <c r="E7" s="105"/>
      <c r="F7" s="106">
        <v>1</v>
      </c>
      <c r="G7" s="106"/>
      <c r="H7" s="106"/>
      <c r="I7" s="106"/>
      <c r="J7" s="106"/>
      <c r="K7" s="106"/>
      <c r="L7" s="106"/>
      <c r="M7" s="106">
        <v>2</v>
      </c>
      <c r="N7" s="106"/>
      <c r="O7" s="106"/>
      <c r="P7" s="106"/>
      <c r="Q7" s="106"/>
      <c r="R7" s="106"/>
      <c r="S7" s="106"/>
      <c r="T7" s="102" t="s">
        <v>8</v>
      </c>
      <c r="U7" s="102" t="s">
        <v>41</v>
      </c>
    </row>
    <row r="8" spans="1:22" s="32" customFormat="1" ht="16.5" customHeight="1" x14ac:dyDescent="0.25">
      <c r="A8" s="102"/>
      <c r="B8" s="102"/>
      <c r="C8" s="103" t="s">
        <v>10</v>
      </c>
      <c r="D8" s="104"/>
      <c r="E8" s="105"/>
      <c r="F8" s="1">
        <v>17</v>
      </c>
      <c r="G8" s="1">
        <v>18</v>
      </c>
      <c r="H8" s="1">
        <v>19</v>
      </c>
      <c r="I8" s="1">
        <v>20</v>
      </c>
      <c r="J8" s="1">
        <v>21</v>
      </c>
      <c r="K8" s="33">
        <v>22</v>
      </c>
      <c r="L8" s="33">
        <v>23</v>
      </c>
      <c r="M8" s="1">
        <v>24</v>
      </c>
      <c r="N8" s="1">
        <v>25</v>
      </c>
      <c r="O8" s="1">
        <v>26</v>
      </c>
      <c r="P8" s="1">
        <v>27</v>
      </c>
      <c r="Q8" s="1">
        <v>28</v>
      </c>
      <c r="R8" s="33">
        <v>29</v>
      </c>
      <c r="S8" s="33">
        <v>30</v>
      </c>
      <c r="T8" s="102"/>
      <c r="U8" s="102"/>
    </row>
    <row r="9" spans="1:22" s="32" customFormat="1" ht="16.5" customHeight="1" x14ac:dyDescent="0.25">
      <c r="A9" s="102"/>
      <c r="B9" s="102"/>
      <c r="C9" s="1" t="s">
        <v>5</v>
      </c>
      <c r="D9" s="1" t="s">
        <v>19</v>
      </c>
      <c r="E9" s="1" t="s">
        <v>18</v>
      </c>
      <c r="F9" s="1">
        <v>2</v>
      </c>
      <c r="G9" s="1">
        <v>3</v>
      </c>
      <c r="H9" s="1">
        <v>4</v>
      </c>
      <c r="I9" s="1">
        <v>5</v>
      </c>
      <c r="J9" s="1">
        <v>6</v>
      </c>
      <c r="K9" s="33">
        <v>7</v>
      </c>
      <c r="L9" s="33" t="s">
        <v>7</v>
      </c>
      <c r="M9" s="1">
        <v>2</v>
      </c>
      <c r="N9" s="1">
        <v>3</v>
      </c>
      <c r="O9" s="1">
        <v>4</v>
      </c>
      <c r="P9" s="1">
        <v>5</v>
      </c>
      <c r="Q9" s="1">
        <v>6</v>
      </c>
      <c r="R9" s="33">
        <v>7</v>
      </c>
      <c r="S9" s="33" t="s">
        <v>7</v>
      </c>
      <c r="T9" s="102"/>
      <c r="U9" s="102"/>
    </row>
    <row r="10" spans="1:22" s="32" customFormat="1" ht="19.5" customHeight="1" x14ac:dyDescent="0.25">
      <c r="A10" s="99" t="s">
        <v>118</v>
      </c>
      <c r="B10" s="38" t="s">
        <v>125</v>
      </c>
      <c r="C10" s="38" t="s">
        <v>31</v>
      </c>
      <c r="D10" s="36" t="s">
        <v>107</v>
      </c>
      <c r="E10" s="2" t="s">
        <v>16</v>
      </c>
      <c r="F10" s="2">
        <v>4</v>
      </c>
      <c r="G10" s="2"/>
      <c r="H10" s="42"/>
      <c r="I10" s="1"/>
      <c r="J10" s="1"/>
      <c r="K10" s="33"/>
      <c r="L10" s="33"/>
      <c r="M10" s="2">
        <v>4</v>
      </c>
      <c r="N10" s="2"/>
      <c r="O10" s="42"/>
      <c r="P10" s="1"/>
      <c r="Q10" s="1"/>
      <c r="R10" s="33"/>
      <c r="S10" s="33"/>
      <c r="T10" s="45">
        <f>SUM(F10:S10)</f>
        <v>8</v>
      </c>
      <c r="U10" s="46" t="s">
        <v>130</v>
      </c>
    </row>
    <row r="11" spans="1:22" s="32" customFormat="1" ht="19.5" customHeight="1" x14ac:dyDescent="0.25">
      <c r="A11" s="100"/>
      <c r="B11" s="38" t="s">
        <v>126</v>
      </c>
      <c r="C11" s="38" t="s">
        <v>31</v>
      </c>
      <c r="D11" s="36" t="s">
        <v>107</v>
      </c>
      <c r="E11" s="2" t="s">
        <v>16</v>
      </c>
      <c r="F11" s="2"/>
      <c r="G11" s="2">
        <v>4</v>
      </c>
      <c r="H11" s="42"/>
      <c r="I11" s="1"/>
      <c r="J11" s="1"/>
      <c r="K11" s="33"/>
      <c r="L11" s="33"/>
      <c r="M11" s="2"/>
      <c r="N11" s="2">
        <v>4</v>
      </c>
      <c r="O11" s="42"/>
      <c r="P11" s="1"/>
      <c r="Q11" s="1"/>
      <c r="R11" s="33"/>
      <c r="S11" s="33"/>
      <c r="T11" s="45">
        <f t="shared" ref="T11:T34" si="0">SUM(F11:S11)</f>
        <v>8</v>
      </c>
      <c r="U11" s="47" t="s">
        <v>130</v>
      </c>
    </row>
    <row r="12" spans="1:22" s="32" customFormat="1" ht="15.75" hidden="1" customHeight="1" x14ac:dyDescent="0.25">
      <c r="A12" s="100"/>
      <c r="B12" s="38" t="s">
        <v>127</v>
      </c>
      <c r="C12" s="38" t="s">
        <v>128</v>
      </c>
      <c r="D12" s="36">
        <v>2.2999999999999998</v>
      </c>
      <c r="E12" s="2" t="s">
        <v>16</v>
      </c>
      <c r="F12" s="2"/>
      <c r="G12" s="2"/>
      <c r="H12" s="2">
        <v>5</v>
      </c>
      <c r="I12" s="2"/>
      <c r="J12" s="2"/>
      <c r="K12" s="33"/>
      <c r="L12" s="33"/>
      <c r="M12" s="2"/>
      <c r="N12" s="2"/>
      <c r="O12" s="2">
        <v>5</v>
      </c>
      <c r="P12" s="2"/>
      <c r="Q12" s="2"/>
      <c r="R12" s="33"/>
      <c r="S12" s="33"/>
      <c r="T12" s="45">
        <f t="shared" si="0"/>
        <v>10</v>
      </c>
      <c r="U12" s="46" t="s">
        <v>134</v>
      </c>
    </row>
    <row r="13" spans="1:22" s="32" customFormat="1" ht="18.75" customHeight="1" x14ac:dyDescent="0.25">
      <c r="A13" s="100"/>
      <c r="B13" s="38" t="s">
        <v>93</v>
      </c>
      <c r="C13" s="38" t="s">
        <v>103</v>
      </c>
      <c r="D13" s="36">
        <v>2.4</v>
      </c>
      <c r="E13" s="2" t="s">
        <v>16</v>
      </c>
      <c r="F13" s="2"/>
      <c r="G13" s="2"/>
      <c r="H13" s="2">
        <v>4</v>
      </c>
      <c r="I13" s="2"/>
      <c r="J13" s="2"/>
      <c r="K13" s="33"/>
      <c r="L13" s="33"/>
      <c r="M13" s="2"/>
      <c r="N13" s="2"/>
      <c r="O13" s="2">
        <v>4</v>
      </c>
      <c r="P13" s="2"/>
      <c r="Q13" s="2"/>
      <c r="R13" s="33"/>
      <c r="S13" s="33"/>
      <c r="T13" s="45">
        <f t="shared" ref="T13" si="1">SUM(F13:S13)</f>
        <v>8</v>
      </c>
      <c r="U13" s="46" t="s">
        <v>135</v>
      </c>
      <c r="V13" s="32" t="s">
        <v>137</v>
      </c>
    </row>
    <row r="14" spans="1:22" s="32" customFormat="1" ht="28.5" customHeight="1" x14ac:dyDescent="0.25">
      <c r="A14" s="100"/>
      <c r="B14" s="40" t="s">
        <v>129</v>
      </c>
      <c r="C14" s="38" t="s">
        <v>31</v>
      </c>
      <c r="D14" s="36" t="s">
        <v>107</v>
      </c>
      <c r="E14" s="2" t="s">
        <v>15</v>
      </c>
      <c r="F14" s="2"/>
      <c r="G14" s="2">
        <v>4</v>
      </c>
      <c r="H14" s="2"/>
      <c r="I14" s="1"/>
      <c r="J14" s="1"/>
      <c r="K14" s="33"/>
      <c r="L14" s="33"/>
      <c r="M14" s="2"/>
      <c r="N14" s="2">
        <v>4</v>
      </c>
      <c r="O14" s="2"/>
      <c r="P14" s="1"/>
      <c r="Q14" s="1"/>
      <c r="R14" s="33"/>
      <c r="S14" s="33"/>
      <c r="T14" s="45">
        <f t="shared" si="0"/>
        <v>8</v>
      </c>
      <c r="U14" s="47" t="s">
        <v>139</v>
      </c>
    </row>
    <row r="15" spans="1:22" s="32" customFormat="1" ht="21.75" customHeight="1" x14ac:dyDescent="0.25">
      <c r="A15" s="101"/>
      <c r="B15" s="38" t="s">
        <v>31</v>
      </c>
      <c r="C15" s="35" t="s">
        <v>27</v>
      </c>
      <c r="D15" s="36" t="s">
        <v>107</v>
      </c>
      <c r="E15" s="2" t="s">
        <v>132</v>
      </c>
      <c r="F15" s="44">
        <v>1</v>
      </c>
      <c r="G15" s="1"/>
      <c r="H15" s="1"/>
      <c r="I15" s="1"/>
      <c r="J15" s="1"/>
      <c r="K15" s="33"/>
      <c r="L15" s="33"/>
      <c r="M15" s="42">
        <v>1</v>
      </c>
      <c r="N15" s="1"/>
      <c r="O15" s="1"/>
      <c r="P15" s="1"/>
      <c r="Q15" s="1"/>
      <c r="R15" s="33"/>
      <c r="S15" s="33"/>
      <c r="T15" s="45">
        <f t="shared" si="0"/>
        <v>2</v>
      </c>
      <c r="U15" s="31"/>
    </row>
    <row r="16" spans="1:22" s="32" customFormat="1" ht="21" customHeight="1" x14ac:dyDescent="0.25">
      <c r="A16" s="99" t="s">
        <v>119</v>
      </c>
      <c r="B16" s="38" t="s">
        <v>122</v>
      </c>
      <c r="C16" s="38" t="s">
        <v>94</v>
      </c>
      <c r="D16" s="36" t="s">
        <v>107</v>
      </c>
      <c r="E16" s="2" t="s">
        <v>15</v>
      </c>
      <c r="F16" s="2">
        <v>4</v>
      </c>
      <c r="G16" s="2"/>
      <c r="H16" s="2"/>
      <c r="I16" s="2"/>
      <c r="J16" s="2"/>
      <c r="K16" s="37"/>
      <c r="L16" s="37"/>
      <c r="M16" s="2">
        <v>4</v>
      </c>
      <c r="N16" s="2"/>
      <c r="O16" s="2"/>
      <c r="P16" s="2"/>
      <c r="Q16" s="2"/>
      <c r="R16" s="37"/>
      <c r="S16" s="37"/>
      <c r="T16" s="45">
        <f t="shared" si="0"/>
        <v>8</v>
      </c>
      <c r="U16" s="47" t="s">
        <v>131</v>
      </c>
    </row>
    <row r="17" spans="1:21" s="32" customFormat="1" ht="22.5" customHeight="1" x14ac:dyDescent="0.25">
      <c r="A17" s="100"/>
      <c r="B17" s="38" t="s">
        <v>123</v>
      </c>
      <c r="C17" s="38" t="s">
        <v>26</v>
      </c>
      <c r="D17" s="36" t="s">
        <v>107</v>
      </c>
      <c r="E17" s="2" t="s">
        <v>15</v>
      </c>
      <c r="F17" s="2"/>
      <c r="G17" s="2">
        <v>4</v>
      </c>
      <c r="H17" s="2">
        <v>4</v>
      </c>
      <c r="I17" s="2"/>
      <c r="J17" s="2"/>
      <c r="K17" s="37"/>
      <c r="L17" s="37"/>
      <c r="M17" s="2"/>
      <c r="N17" s="2">
        <v>4</v>
      </c>
      <c r="O17" s="2"/>
      <c r="P17" s="2"/>
      <c r="Q17" s="2"/>
      <c r="R17" s="37"/>
      <c r="S17" s="37"/>
      <c r="T17" s="45">
        <f t="shared" si="0"/>
        <v>12</v>
      </c>
      <c r="U17" s="47" t="s">
        <v>140</v>
      </c>
    </row>
    <row r="18" spans="1:21" s="32" customFormat="1" ht="22.5" customHeight="1" x14ac:dyDescent="0.25">
      <c r="A18" s="100"/>
      <c r="B18" s="38" t="s">
        <v>93</v>
      </c>
      <c r="C18" s="38" t="s">
        <v>103</v>
      </c>
      <c r="D18" s="36">
        <v>2.4</v>
      </c>
      <c r="E18" s="2" t="s">
        <v>16</v>
      </c>
      <c r="F18" s="2"/>
      <c r="G18" s="2"/>
      <c r="H18" s="2">
        <v>4</v>
      </c>
      <c r="I18" s="2"/>
      <c r="J18" s="2"/>
      <c r="K18" s="37"/>
      <c r="L18" s="37"/>
      <c r="M18" s="2"/>
      <c r="N18" s="2"/>
      <c r="O18" s="2">
        <v>4</v>
      </c>
      <c r="P18" s="2"/>
      <c r="Q18" s="2"/>
      <c r="R18" s="37"/>
      <c r="S18" s="37"/>
      <c r="T18" s="45">
        <f t="shared" si="0"/>
        <v>8</v>
      </c>
      <c r="U18" s="47" t="s">
        <v>136</v>
      </c>
    </row>
    <row r="19" spans="1:21" s="32" customFormat="1" ht="15.75" hidden="1" customHeight="1" x14ac:dyDescent="0.25">
      <c r="A19" s="100"/>
      <c r="B19" s="38" t="s">
        <v>93</v>
      </c>
      <c r="C19" s="38" t="s">
        <v>103</v>
      </c>
      <c r="D19" s="36">
        <v>2.4</v>
      </c>
      <c r="E19" s="2" t="s">
        <v>16</v>
      </c>
      <c r="F19" s="2"/>
      <c r="G19" s="2"/>
      <c r="H19" s="2"/>
      <c r="I19" s="2">
        <v>4</v>
      </c>
      <c r="J19" s="2"/>
      <c r="K19" s="37"/>
      <c r="L19" s="37"/>
      <c r="M19" s="2"/>
      <c r="N19" s="2"/>
      <c r="O19" s="2"/>
      <c r="P19" s="2">
        <v>4</v>
      </c>
      <c r="Q19" s="2"/>
      <c r="R19" s="37"/>
      <c r="S19" s="37"/>
      <c r="T19" s="45">
        <f t="shared" si="0"/>
        <v>8</v>
      </c>
      <c r="U19" s="31"/>
    </row>
    <row r="20" spans="1:21" s="32" customFormat="1" ht="15.75" hidden="1" customHeight="1" x14ac:dyDescent="0.25">
      <c r="A20" s="100"/>
      <c r="B20" s="38"/>
      <c r="C20" s="35"/>
      <c r="D20" s="36" t="s">
        <v>107</v>
      </c>
      <c r="E20" s="2" t="s">
        <v>15</v>
      </c>
      <c r="F20" s="2"/>
      <c r="G20" s="2"/>
      <c r="H20" s="2"/>
      <c r="I20" s="2"/>
      <c r="J20" s="2"/>
      <c r="K20" s="37"/>
      <c r="L20" s="37"/>
      <c r="M20" s="2"/>
      <c r="N20" s="2"/>
      <c r="O20" s="2"/>
      <c r="P20" s="2"/>
      <c r="Q20" s="2"/>
      <c r="R20" s="37"/>
      <c r="S20" s="37"/>
      <c r="T20" s="45">
        <f t="shared" si="0"/>
        <v>0</v>
      </c>
      <c r="U20" s="31" t="s">
        <v>108</v>
      </c>
    </row>
    <row r="21" spans="1:21" s="32" customFormat="1" ht="15.75" hidden="1" customHeight="1" x14ac:dyDescent="0.25">
      <c r="A21" s="100"/>
      <c r="B21" s="38"/>
      <c r="C21" s="35"/>
      <c r="D21" s="36" t="s">
        <v>115</v>
      </c>
      <c r="E21" s="2" t="s">
        <v>16</v>
      </c>
      <c r="F21" s="2"/>
      <c r="G21" s="2"/>
      <c r="H21" s="2"/>
      <c r="I21" s="2"/>
      <c r="J21" s="2"/>
      <c r="K21" s="37"/>
      <c r="L21" s="37"/>
      <c r="M21" s="2"/>
      <c r="N21" s="2"/>
      <c r="O21" s="2"/>
      <c r="P21" s="2"/>
      <c r="Q21" s="2"/>
      <c r="R21" s="37"/>
      <c r="S21" s="37"/>
      <c r="T21" s="45">
        <f t="shared" si="0"/>
        <v>0</v>
      </c>
      <c r="U21" s="31" t="s">
        <v>114</v>
      </c>
    </row>
    <row r="22" spans="1:21" s="32" customFormat="1" ht="20.25" customHeight="1" x14ac:dyDescent="0.25">
      <c r="A22" s="101"/>
      <c r="B22" s="34" t="s">
        <v>26</v>
      </c>
      <c r="C22" s="35" t="s">
        <v>27</v>
      </c>
      <c r="D22" s="36" t="s">
        <v>107</v>
      </c>
      <c r="E22" s="2" t="s">
        <v>116</v>
      </c>
      <c r="F22" s="2">
        <v>1</v>
      </c>
      <c r="G22" s="2"/>
      <c r="H22" s="2"/>
      <c r="I22" s="2"/>
      <c r="J22" s="2"/>
      <c r="K22" s="37"/>
      <c r="L22" s="37"/>
      <c r="M22" s="2">
        <v>1</v>
      </c>
      <c r="N22" s="2"/>
      <c r="O22" s="2"/>
      <c r="P22" s="2"/>
      <c r="Q22" s="2"/>
      <c r="R22" s="37"/>
      <c r="S22" s="37"/>
      <c r="T22" s="45">
        <f t="shared" si="0"/>
        <v>2</v>
      </c>
      <c r="U22" s="47"/>
    </row>
    <row r="23" spans="1:21" s="32" customFormat="1" ht="20.25" customHeight="1" x14ac:dyDescent="0.25">
      <c r="A23" s="99" t="s">
        <v>120</v>
      </c>
      <c r="B23" s="38" t="s">
        <v>122</v>
      </c>
      <c r="C23" s="38" t="s">
        <v>94</v>
      </c>
      <c r="D23" s="36" t="s">
        <v>107</v>
      </c>
      <c r="E23" s="2" t="s">
        <v>15</v>
      </c>
      <c r="F23" s="2">
        <v>4</v>
      </c>
      <c r="G23" s="2"/>
      <c r="H23" s="2"/>
      <c r="I23" s="2"/>
      <c r="J23" s="2"/>
      <c r="K23" s="37"/>
      <c r="L23" s="37"/>
      <c r="M23" s="2">
        <v>4</v>
      </c>
      <c r="N23" s="2"/>
      <c r="O23" s="2"/>
      <c r="P23" s="2"/>
      <c r="Q23" s="2"/>
      <c r="R23" s="37"/>
      <c r="S23" s="37"/>
      <c r="T23" s="45">
        <f t="shared" si="0"/>
        <v>8</v>
      </c>
      <c r="U23" s="47" t="s">
        <v>131</v>
      </c>
    </row>
    <row r="24" spans="1:21" s="32" customFormat="1" ht="27" customHeight="1" x14ac:dyDescent="0.25">
      <c r="A24" s="100"/>
      <c r="B24" s="38" t="s">
        <v>123</v>
      </c>
      <c r="C24" s="38" t="s">
        <v>26</v>
      </c>
      <c r="D24" s="36" t="s">
        <v>107</v>
      </c>
      <c r="E24" s="2" t="s">
        <v>15</v>
      </c>
      <c r="F24" s="2"/>
      <c r="G24" s="2">
        <v>4</v>
      </c>
      <c r="H24" s="2">
        <v>4</v>
      </c>
      <c r="I24" s="2"/>
      <c r="J24" s="2"/>
      <c r="K24" s="37"/>
      <c r="L24" s="37"/>
      <c r="M24" s="2"/>
      <c r="N24" s="2">
        <v>4</v>
      </c>
      <c r="O24" s="2"/>
      <c r="P24" s="2"/>
      <c r="Q24" s="2"/>
      <c r="R24" s="37"/>
      <c r="S24" s="37"/>
      <c r="T24" s="45">
        <f t="shared" si="0"/>
        <v>12</v>
      </c>
      <c r="U24" s="47" t="s">
        <v>140</v>
      </c>
    </row>
    <row r="25" spans="1:21" s="32" customFormat="1" ht="27" customHeight="1" x14ac:dyDescent="0.25">
      <c r="A25" s="100"/>
      <c r="B25" s="38" t="s">
        <v>88</v>
      </c>
      <c r="C25" s="38" t="s">
        <v>87</v>
      </c>
      <c r="D25" s="36">
        <v>2.1</v>
      </c>
      <c r="E25" s="2" t="s">
        <v>15</v>
      </c>
      <c r="F25" s="2"/>
      <c r="G25" s="2"/>
      <c r="H25" s="2"/>
      <c r="I25" s="2"/>
      <c r="J25" s="2"/>
      <c r="K25" s="37"/>
      <c r="L25" s="37"/>
      <c r="M25" s="2"/>
      <c r="N25" s="2"/>
      <c r="O25" s="2">
        <v>4</v>
      </c>
      <c r="P25" s="2"/>
      <c r="Q25" s="2"/>
      <c r="R25" s="37"/>
      <c r="S25" s="37"/>
      <c r="T25" s="45">
        <f t="shared" si="0"/>
        <v>4</v>
      </c>
      <c r="U25" s="46" t="s">
        <v>138</v>
      </c>
    </row>
    <row r="26" spans="1:21" s="32" customFormat="1" ht="20.25" hidden="1" customHeight="1" x14ac:dyDescent="0.25">
      <c r="A26" s="100"/>
      <c r="B26" s="38" t="s">
        <v>34</v>
      </c>
      <c r="C26" s="38" t="s">
        <v>124</v>
      </c>
      <c r="D26" s="36">
        <v>2.1</v>
      </c>
      <c r="E26" s="2" t="s">
        <v>15</v>
      </c>
      <c r="F26" s="2"/>
      <c r="G26" s="2"/>
      <c r="H26" s="2"/>
      <c r="I26" s="2">
        <v>4</v>
      </c>
      <c r="J26" s="2"/>
      <c r="K26" s="37"/>
      <c r="L26" s="37"/>
      <c r="M26" s="2"/>
      <c r="N26" s="2"/>
      <c r="O26" s="2"/>
      <c r="P26" s="2">
        <v>4</v>
      </c>
      <c r="Q26" s="2"/>
      <c r="R26" s="37"/>
      <c r="S26" s="37"/>
      <c r="T26" s="45">
        <f t="shared" si="0"/>
        <v>8</v>
      </c>
      <c r="U26" s="31"/>
    </row>
    <row r="27" spans="1:21" s="32" customFormat="1" ht="20.25" hidden="1" customHeight="1" x14ac:dyDescent="0.25">
      <c r="A27" s="100"/>
      <c r="B27" s="38"/>
      <c r="C27" s="38"/>
      <c r="D27" s="36"/>
      <c r="E27" s="2"/>
      <c r="F27" s="2"/>
      <c r="G27" s="2"/>
      <c r="H27" s="2"/>
      <c r="I27" s="2"/>
      <c r="J27" s="2"/>
      <c r="K27" s="37"/>
      <c r="L27" s="37"/>
      <c r="M27" s="2"/>
      <c r="N27" s="2"/>
      <c r="O27" s="2"/>
      <c r="P27" s="2"/>
      <c r="Q27" s="2"/>
      <c r="R27" s="37"/>
      <c r="S27" s="37"/>
      <c r="T27" s="45">
        <f t="shared" si="0"/>
        <v>0</v>
      </c>
      <c r="U27" s="31"/>
    </row>
    <row r="28" spans="1:21" s="32" customFormat="1" ht="22.5" customHeight="1" x14ac:dyDescent="0.25">
      <c r="A28" s="101"/>
      <c r="B28" s="34" t="s">
        <v>26</v>
      </c>
      <c r="C28" s="35" t="s">
        <v>27</v>
      </c>
      <c r="D28" s="36" t="s">
        <v>107</v>
      </c>
      <c r="E28" s="2" t="s">
        <v>116</v>
      </c>
      <c r="F28" s="2">
        <v>1</v>
      </c>
      <c r="G28" s="2"/>
      <c r="H28" s="2"/>
      <c r="I28" s="2"/>
      <c r="J28" s="2"/>
      <c r="K28" s="37"/>
      <c r="L28" s="37"/>
      <c r="M28" s="2">
        <v>1</v>
      </c>
      <c r="N28" s="2"/>
      <c r="O28" s="2"/>
      <c r="P28" s="2"/>
      <c r="Q28" s="2"/>
      <c r="R28" s="37"/>
      <c r="S28" s="37"/>
      <c r="T28" s="45">
        <f t="shared" si="0"/>
        <v>2</v>
      </c>
      <c r="U28" s="47"/>
    </row>
    <row r="29" spans="1:21" s="32" customFormat="1" ht="19.5" customHeight="1" x14ac:dyDescent="0.25">
      <c r="A29" s="99" t="s">
        <v>121</v>
      </c>
      <c r="B29" s="38" t="s">
        <v>122</v>
      </c>
      <c r="C29" s="38" t="s">
        <v>94</v>
      </c>
      <c r="D29" s="36" t="s">
        <v>107</v>
      </c>
      <c r="E29" s="2" t="s">
        <v>15</v>
      </c>
      <c r="F29" s="2">
        <v>4</v>
      </c>
      <c r="G29" s="2"/>
      <c r="H29" s="2"/>
      <c r="I29" s="2"/>
      <c r="J29" s="2"/>
      <c r="K29" s="37"/>
      <c r="L29" s="37"/>
      <c r="M29" s="2">
        <v>4</v>
      </c>
      <c r="N29" s="2"/>
      <c r="O29" s="2"/>
      <c r="P29" s="2"/>
      <c r="Q29" s="2"/>
      <c r="R29" s="37"/>
      <c r="S29" s="37"/>
      <c r="T29" s="45">
        <f t="shared" si="0"/>
        <v>8</v>
      </c>
      <c r="U29" s="31" t="str">
        <f>U23</f>
        <v>08/15</v>
      </c>
    </row>
    <row r="30" spans="1:21" s="32" customFormat="1" ht="19.5" customHeight="1" x14ac:dyDescent="0.25">
      <c r="A30" s="100"/>
      <c r="B30" s="38" t="s">
        <v>123</v>
      </c>
      <c r="C30" s="38" t="s">
        <v>26</v>
      </c>
      <c r="D30" s="36" t="s">
        <v>107</v>
      </c>
      <c r="E30" s="2" t="s">
        <v>15</v>
      </c>
      <c r="F30" s="2"/>
      <c r="G30" s="2">
        <v>4</v>
      </c>
      <c r="H30" s="2">
        <v>4</v>
      </c>
      <c r="I30" s="2"/>
      <c r="J30" s="2"/>
      <c r="K30" s="37"/>
      <c r="L30" s="37"/>
      <c r="M30" s="2"/>
      <c r="N30" s="2">
        <v>4</v>
      </c>
      <c r="O30" s="2"/>
      <c r="P30" s="2"/>
      <c r="Q30" s="2"/>
      <c r="R30" s="37"/>
      <c r="S30" s="37"/>
      <c r="T30" s="45">
        <f t="shared" si="0"/>
        <v>12</v>
      </c>
      <c r="U30" s="46" t="str">
        <f>U24</f>
        <v>12/15</v>
      </c>
    </row>
    <row r="31" spans="1:21" s="32" customFormat="1" ht="27.75" customHeight="1" x14ac:dyDescent="0.25">
      <c r="A31" s="100"/>
      <c r="B31" s="38" t="s">
        <v>88</v>
      </c>
      <c r="C31" s="38" t="s">
        <v>87</v>
      </c>
      <c r="D31" s="36">
        <v>2.1</v>
      </c>
      <c r="E31" s="2" t="s">
        <v>15</v>
      </c>
      <c r="F31" s="2"/>
      <c r="G31" s="2"/>
      <c r="H31" s="2"/>
      <c r="I31" s="2"/>
      <c r="J31" s="2"/>
      <c r="K31" s="37"/>
      <c r="L31" s="37"/>
      <c r="M31" s="2"/>
      <c r="N31" s="2"/>
      <c r="O31" s="2">
        <v>4</v>
      </c>
      <c r="P31" s="2"/>
      <c r="Q31" s="2"/>
      <c r="R31" s="37"/>
      <c r="S31" s="37"/>
      <c r="T31" s="45">
        <f t="shared" si="0"/>
        <v>4</v>
      </c>
      <c r="U31" s="46" t="str">
        <f>U25</f>
        <v>8/24</v>
      </c>
    </row>
    <row r="32" spans="1:21" s="32" customFormat="1" ht="20.25" hidden="1" customHeight="1" x14ac:dyDescent="0.25">
      <c r="A32" s="100"/>
      <c r="B32" s="38" t="s">
        <v>34</v>
      </c>
      <c r="C32" s="38" t="s">
        <v>124</v>
      </c>
      <c r="D32" s="36">
        <v>2.1</v>
      </c>
      <c r="E32" s="2" t="s">
        <v>15</v>
      </c>
      <c r="F32" s="2"/>
      <c r="G32" s="2"/>
      <c r="H32" s="2"/>
      <c r="I32" s="2">
        <v>4</v>
      </c>
      <c r="J32" s="2"/>
      <c r="K32" s="37"/>
      <c r="L32" s="37"/>
      <c r="M32" s="2"/>
      <c r="N32" s="2"/>
      <c r="O32" s="2"/>
      <c r="P32" s="2">
        <v>4</v>
      </c>
      <c r="Q32" s="2"/>
      <c r="R32" s="37"/>
      <c r="S32" s="37"/>
      <c r="T32" s="45">
        <f t="shared" si="0"/>
        <v>8</v>
      </c>
      <c r="U32" s="31" t="s">
        <v>108</v>
      </c>
    </row>
    <row r="33" spans="1:21" s="32" customFormat="1" ht="20.25" hidden="1" customHeight="1" x14ac:dyDescent="0.25">
      <c r="A33" s="100"/>
      <c r="B33" s="38"/>
      <c r="C33" s="38"/>
      <c r="D33" s="36"/>
      <c r="E33" s="2"/>
      <c r="F33" s="2"/>
      <c r="G33" s="2"/>
      <c r="H33" s="2"/>
      <c r="I33" s="2"/>
      <c r="J33" s="2"/>
      <c r="K33" s="37"/>
      <c r="L33" s="37"/>
      <c r="M33" s="2"/>
      <c r="N33" s="2"/>
      <c r="O33" s="2"/>
      <c r="P33" s="2"/>
      <c r="Q33" s="2"/>
      <c r="R33" s="37"/>
      <c r="S33" s="37"/>
      <c r="T33" s="45"/>
      <c r="U33" s="31"/>
    </row>
    <row r="34" spans="1:21" s="32" customFormat="1" ht="23.25" customHeight="1" x14ac:dyDescent="0.25">
      <c r="A34" s="101"/>
      <c r="B34" s="34" t="s">
        <v>94</v>
      </c>
      <c r="C34" s="35" t="s">
        <v>27</v>
      </c>
      <c r="D34" s="36" t="s">
        <v>107</v>
      </c>
      <c r="E34" s="2" t="s">
        <v>116</v>
      </c>
      <c r="F34" s="2">
        <v>1</v>
      </c>
      <c r="G34" s="2"/>
      <c r="H34" s="2"/>
      <c r="I34" s="2"/>
      <c r="J34" s="2"/>
      <c r="K34" s="37"/>
      <c r="L34" s="37"/>
      <c r="M34" s="2">
        <v>1</v>
      </c>
      <c r="N34" s="2"/>
      <c r="O34" s="2"/>
      <c r="P34" s="2"/>
      <c r="Q34" s="2"/>
      <c r="R34" s="37"/>
      <c r="S34" s="37"/>
      <c r="T34" s="45">
        <f t="shared" si="0"/>
        <v>2</v>
      </c>
      <c r="U34" s="47"/>
    </row>
    <row r="35" spans="1:21" ht="24.75" customHeight="1" x14ac:dyDescent="0.3">
      <c r="A35" s="53" t="s">
        <v>142</v>
      </c>
      <c r="M35" s="50" t="s">
        <v>141</v>
      </c>
    </row>
    <row r="36" spans="1:21" s="29" customFormat="1" x14ac:dyDescent="0.3">
      <c r="B36" s="107" t="s">
        <v>12</v>
      </c>
      <c r="C36" s="107"/>
      <c r="D36" s="5"/>
      <c r="E36" s="29" t="s">
        <v>28</v>
      </c>
      <c r="O36" s="29" t="s">
        <v>133</v>
      </c>
      <c r="T36" s="4"/>
      <c r="U36" s="48"/>
    </row>
    <row r="37" spans="1:21" x14ac:dyDescent="0.3">
      <c r="D37" s="4" t="s">
        <v>29</v>
      </c>
    </row>
    <row r="38" spans="1:21" ht="29.25" customHeight="1" x14ac:dyDescent="0.3"/>
    <row r="39" spans="1:21" ht="12.75" customHeight="1" x14ac:dyDescent="0.3"/>
    <row r="40" spans="1:21" x14ac:dyDescent="0.3">
      <c r="E40" s="29" t="s">
        <v>113</v>
      </c>
      <c r="K40" s="29"/>
      <c r="L40" s="29"/>
      <c r="M40" s="29"/>
      <c r="N40" s="29"/>
      <c r="O40" s="29" t="s">
        <v>22</v>
      </c>
      <c r="P40" s="29"/>
      <c r="Q40" s="29"/>
      <c r="R40" s="29"/>
    </row>
    <row r="42" spans="1:21" s="27" customFormat="1" ht="18" hidden="1" customHeight="1" x14ac:dyDescent="0.25">
      <c r="A42" s="108" t="s">
        <v>0</v>
      </c>
      <c r="B42" s="108"/>
      <c r="C42" s="108"/>
      <c r="D42" s="108"/>
      <c r="E42" s="3"/>
      <c r="P42" s="28" t="s">
        <v>1</v>
      </c>
      <c r="Q42" s="28"/>
      <c r="R42" s="28"/>
      <c r="S42" s="28"/>
      <c r="T42" s="43"/>
      <c r="U42" s="48"/>
    </row>
    <row r="43" spans="1:21" s="27" customFormat="1" ht="16.5" hidden="1" customHeight="1" x14ac:dyDescent="0.25">
      <c r="A43" s="109" t="s">
        <v>2</v>
      </c>
      <c r="B43" s="109"/>
      <c r="C43" s="109"/>
      <c r="D43" s="109"/>
      <c r="E43" s="3"/>
      <c r="L43" s="109" t="s">
        <v>3</v>
      </c>
      <c r="M43" s="109"/>
      <c r="N43" s="109"/>
      <c r="O43" s="109"/>
      <c r="P43" s="109"/>
      <c r="Q43" s="109"/>
      <c r="R43" s="109"/>
      <c r="S43" s="109"/>
      <c r="T43" s="43"/>
      <c r="U43" s="48"/>
    </row>
    <row r="44" spans="1:21" ht="16.5" hidden="1" customHeight="1" x14ac:dyDescent="0.3"/>
    <row r="45" spans="1:21" ht="16.5" hidden="1" customHeight="1" x14ac:dyDescent="0.3">
      <c r="A45" s="97" t="s">
        <v>20</v>
      </c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</row>
    <row r="46" spans="1:21" ht="16.5" hidden="1" customHeight="1" x14ac:dyDescent="0.3">
      <c r="A46" s="97" t="s">
        <v>24</v>
      </c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</row>
    <row r="47" spans="1:21" ht="16.5" hidden="1" customHeight="1" x14ac:dyDescent="0.3"/>
    <row r="48" spans="1:21" s="32" customFormat="1" ht="16.5" hidden="1" customHeight="1" x14ac:dyDescent="0.25">
      <c r="A48" s="102" t="s">
        <v>4</v>
      </c>
      <c r="B48" s="102" t="s">
        <v>5</v>
      </c>
      <c r="C48" s="103" t="s">
        <v>11</v>
      </c>
      <c r="D48" s="104"/>
      <c r="E48" s="105"/>
      <c r="F48" s="106">
        <v>1</v>
      </c>
      <c r="G48" s="106"/>
      <c r="H48" s="106"/>
      <c r="I48" s="106"/>
      <c r="J48" s="106"/>
      <c r="K48" s="106"/>
      <c r="L48" s="106"/>
      <c r="M48" s="106">
        <v>2</v>
      </c>
      <c r="N48" s="106"/>
      <c r="O48" s="106"/>
      <c r="P48" s="106"/>
      <c r="Q48" s="106"/>
      <c r="R48" s="106"/>
      <c r="S48" s="106"/>
      <c r="T48" s="104"/>
      <c r="U48" s="105"/>
    </row>
    <row r="49" spans="1:21" s="32" customFormat="1" ht="16.5" hidden="1" customHeight="1" x14ac:dyDescent="0.25">
      <c r="A49" s="102"/>
      <c r="B49" s="102"/>
      <c r="C49" s="103" t="s">
        <v>10</v>
      </c>
      <c r="D49" s="104"/>
      <c r="E49" s="105"/>
      <c r="F49" s="1">
        <v>30</v>
      </c>
      <c r="G49" s="1">
        <v>1</v>
      </c>
      <c r="H49" s="1">
        <v>2</v>
      </c>
      <c r="I49" s="1">
        <v>3</v>
      </c>
      <c r="J49" s="1">
        <v>4</v>
      </c>
      <c r="K49" s="33">
        <v>5</v>
      </c>
      <c r="L49" s="33">
        <v>6</v>
      </c>
      <c r="M49" s="1">
        <v>7</v>
      </c>
      <c r="N49" s="1">
        <v>8</v>
      </c>
      <c r="O49" s="1">
        <v>9</v>
      </c>
      <c r="P49" s="1">
        <v>10</v>
      </c>
      <c r="Q49" s="1">
        <v>11</v>
      </c>
      <c r="R49" s="33">
        <v>12</v>
      </c>
      <c r="S49" s="33">
        <v>13</v>
      </c>
      <c r="T49" s="42">
        <v>29</v>
      </c>
      <c r="U49" s="1">
        <v>30</v>
      </c>
    </row>
    <row r="50" spans="1:21" s="32" customFormat="1" ht="16.5" hidden="1" customHeight="1" x14ac:dyDescent="0.25">
      <c r="A50" s="102"/>
      <c r="B50" s="102"/>
      <c r="C50" s="1" t="s">
        <v>6</v>
      </c>
      <c r="D50" s="1" t="s">
        <v>19</v>
      </c>
      <c r="E50" s="1" t="s">
        <v>18</v>
      </c>
      <c r="F50" s="1">
        <v>2</v>
      </c>
      <c r="G50" s="1">
        <v>3</v>
      </c>
      <c r="H50" s="1">
        <v>4</v>
      </c>
      <c r="I50" s="1">
        <v>5</v>
      </c>
      <c r="J50" s="1">
        <v>6</v>
      </c>
      <c r="K50" s="33">
        <v>7</v>
      </c>
      <c r="L50" s="33" t="s">
        <v>7</v>
      </c>
      <c r="M50" s="1">
        <v>2</v>
      </c>
      <c r="N50" s="1">
        <v>3</v>
      </c>
      <c r="O50" s="1">
        <v>4</v>
      </c>
      <c r="P50" s="1">
        <v>5</v>
      </c>
      <c r="Q50" s="1">
        <v>6</v>
      </c>
      <c r="R50" s="33">
        <v>7</v>
      </c>
      <c r="S50" s="33" t="s">
        <v>7</v>
      </c>
      <c r="T50" s="42">
        <v>3</v>
      </c>
      <c r="U50" s="1">
        <v>4</v>
      </c>
    </row>
    <row r="51" spans="1:21" s="32" customFormat="1" ht="16.5" hidden="1" customHeight="1" x14ac:dyDescent="0.25">
      <c r="A51" s="99" t="s">
        <v>90</v>
      </c>
      <c r="B51" s="34" t="s">
        <v>26</v>
      </c>
      <c r="C51" s="35" t="s">
        <v>30</v>
      </c>
      <c r="D51" s="36" t="s">
        <v>85</v>
      </c>
      <c r="E51" s="2" t="s">
        <v>15</v>
      </c>
      <c r="F51" s="1">
        <v>4</v>
      </c>
      <c r="G51" s="1">
        <v>4</v>
      </c>
      <c r="H51" s="1"/>
      <c r="I51" s="1"/>
      <c r="J51" s="1"/>
      <c r="K51" s="34"/>
      <c r="L51" s="34"/>
      <c r="M51" s="34">
        <v>4</v>
      </c>
      <c r="N51" s="34"/>
      <c r="O51" s="34"/>
      <c r="P51" s="34"/>
      <c r="Q51" s="34"/>
      <c r="R51" s="34"/>
      <c r="S51" s="34"/>
      <c r="T51" s="42">
        <v>4</v>
      </c>
      <c r="U51" s="1"/>
    </row>
    <row r="52" spans="1:21" s="32" customFormat="1" ht="16.5" hidden="1" customHeight="1" x14ac:dyDescent="0.25">
      <c r="A52" s="100"/>
      <c r="B52" s="38" t="s">
        <v>31</v>
      </c>
      <c r="C52" s="35" t="s">
        <v>32</v>
      </c>
      <c r="D52" s="36" t="s">
        <v>85</v>
      </c>
      <c r="E52" s="2" t="s">
        <v>15</v>
      </c>
      <c r="F52" s="1"/>
      <c r="G52" s="1"/>
      <c r="H52" s="1"/>
      <c r="I52" s="1"/>
      <c r="J52" s="1"/>
      <c r="K52" s="34"/>
      <c r="L52" s="34"/>
      <c r="M52" s="34"/>
      <c r="N52" s="34"/>
      <c r="O52" s="34"/>
      <c r="P52" s="34"/>
      <c r="Q52" s="34"/>
      <c r="R52" s="34"/>
      <c r="S52" s="34"/>
      <c r="T52" s="42"/>
      <c r="U52" s="1"/>
    </row>
    <row r="53" spans="1:21" s="32" customFormat="1" ht="16.5" hidden="1" customHeight="1" x14ac:dyDescent="0.25">
      <c r="A53" s="100"/>
      <c r="B53" s="38" t="s">
        <v>35</v>
      </c>
      <c r="C53" s="35" t="s">
        <v>36</v>
      </c>
      <c r="D53" s="36" t="s">
        <v>85</v>
      </c>
      <c r="E53" s="2" t="s">
        <v>15</v>
      </c>
      <c r="F53" s="1"/>
      <c r="G53" s="1"/>
      <c r="H53" s="1"/>
      <c r="I53" s="1"/>
      <c r="J53" s="1"/>
      <c r="K53" s="34"/>
      <c r="L53" s="34"/>
      <c r="M53" s="34"/>
      <c r="N53" s="34"/>
      <c r="O53" s="34"/>
      <c r="P53" s="34"/>
      <c r="Q53" s="34"/>
      <c r="R53" s="34"/>
      <c r="S53" s="34"/>
      <c r="T53" s="42"/>
      <c r="U53" s="1"/>
    </row>
    <row r="54" spans="1:21" s="32" customFormat="1" ht="16.5" hidden="1" customHeight="1" x14ac:dyDescent="0.25">
      <c r="A54" s="101"/>
      <c r="B54" s="34" t="s">
        <v>26</v>
      </c>
      <c r="C54" s="35" t="s">
        <v>27</v>
      </c>
      <c r="D54" s="36" t="s">
        <v>85</v>
      </c>
      <c r="E54" s="2" t="s">
        <v>37</v>
      </c>
      <c r="F54" s="1">
        <v>1</v>
      </c>
      <c r="G54" s="1"/>
      <c r="H54" s="1"/>
      <c r="I54" s="1"/>
      <c r="J54" s="1"/>
      <c r="K54" s="34"/>
      <c r="L54" s="34"/>
      <c r="M54" s="34"/>
      <c r="N54" s="34"/>
      <c r="O54" s="34"/>
      <c r="P54" s="34"/>
      <c r="Q54" s="34"/>
      <c r="R54" s="34"/>
      <c r="S54" s="34"/>
      <c r="T54" s="42"/>
      <c r="U54" s="1"/>
    </row>
    <row r="55" spans="1:21" s="32" customFormat="1" ht="16.5" hidden="1" customHeight="1" x14ac:dyDescent="0.25">
      <c r="A55" s="99" t="s">
        <v>89</v>
      </c>
      <c r="B55" s="34" t="s">
        <v>26</v>
      </c>
      <c r="C55" s="35" t="s">
        <v>30</v>
      </c>
      <c r="D55" s="36" t="s">
        <v>85</v>
      </c>
      <c r="E55" s="2" t="s">
        <v>15</v>
      </c>
      <c r="F55" s="1">
        <v>4</v>
      </c>
      <c r="G55" s="1">
        <v>4</v>
      </c>
      <c r="H55" s="1"/>
      <c r="I55" s="1"/>
      <c r="J55" s="1"/>
      <c r="K55" s="34"/>
      <c r="L55" s="34"/>
      <c r="M55" s="34">
        <v>4</v>
      </c>
      <c r="N55" s="34"/>
      <c r="O55" s="34"/>
      <c r="P55" s="34"/>
      <c r="Q55" s="34"/>
      <c r="R55" s="34"/>
      <c r="S55" s="34"/>
      <c r="T55" s="42">
        <v>4</v>
      </c>
      <c r="U55" s="1"/>
    </row>
    <row r="56" spans="1:21" s="32" customFormat="1" ht="16.5" hidden="1" customHeight="1" x14ac:dyDescent="0.25">
      <c r="A56" s="100"/>
      <c r="B56" s="38" t="s">
        <v>31</v>
      </c>
      <c r="C56" s="35" t="s">
        <v>32</v>
      </c>
      <c r="D56" s="36" t="s">
        <v>85</v>
      </c>
      <c r="E56" s="2" t="s">
        <v>15</v>
      </c>
      <c r="F56" s="1"/>
      <c r="G56" s="1"/>
      <c r="H56" s="1"/>
      <c r="I56" s="1"/>
      <c r="J56" s="1"/>
      <c r="K56" s="34"/>
      <c r="L56" s="34"/>
      <c r="M56" s="34"/>
      <c r="N56" s="34"/>
      <c r="O56" s="34"/>
      <c r="P56" s="34"/>
      <c r="Q56" s="34"/>
      <c r="R56" s="34"/>
      <c r="S56" s="34"/>
      <c r="T56" s="42"/>
      <c r="U56" s="1"/>
    </row>
    <row r="57" spans="1:21" s="32" customFormat="1" ht="16.5" hidden="1" customHeight="1" x14ac:dyDescent="0.25">
      <c r="A57" s="100"/>
      <c r="B57" s="38" t="s">
        <v>33</v>
      </c>
      <c r="C57" s="35" t="s">
        <v>34</v>
      </c>
      <c r="D57" s="36" t="s">
        <v>92</v>
      </c>
      <c r="E57" s="2" t="s">
        <v>15</v>
      </c>
      <c r="F57" s="1"/>
      <c r="G57" s="1"/>
      <c r="H57" s="1"/>
      <c r="I57" s="1"/>
      <c r="J57" s="1"/>
      <c r="K57" s="34"/>
      <c r="L57" s="34"/>
      <c r="M57" s="34"/>
      <c r="N57" s="34"/>
      <c r="O57" s="34"/>
      <c r="P57" s="34"/>
      <c r="Q57" s="34"/>
      <c r="R57" s="34"/>
      <c r="S57" s="34"/>
      <c r="T57" s="42"/>
      <c r="U57" s="1"/>
    </row>
    <row r="58" spans="1:21" s="32" customFormat="1" ht="16.5" hidden="1" customHeight="1" x14ac:dyDescent="0.25">
      <c r="A58" s="101"/>
      <c r="B58" s="34" t="s">
        <v>26</v>
      </c>
      <c r="C58" s="35" t="s">
        <v>27</v>
      </c>
      <c r="D58" s="36" t="s">
        <v>85</v>
      </c>
      <c r="E58" s="2" t="s">
        <v>37</v>
      </c>
      <c r="F58" s="1">
        <v>1</v>
      </c>
      <c r="G58" s="1"/>
      <c r="H58" s="1"/>
      <c r="I58" s="1"/>
      <c r="J58" s="1"/>
      <c r="K58" s="34"/>
      <c r="L58" s="34"/>
      <c r="M58" s="34"/>
      <c r="N58" s="34"/>
      <c r="O58" s="34"/>
      <c r="P58" s="34"/>
      <c r="Q58" s="34"/>
      <c r="R58" s="34"/>
      <c r="S58" s="34"/>
      <c r="T58" s="42"/>
      <c r="U58" s="1"/>
    </row>
    <row r="59" spans="1:21" s="32" customFormat="1" ht="16.5" hidden="1" customHeight="1" x14ac:dyDescent="0.25">
      <c r="A59" s="31"/>
      <c r="B59" s="31"/>
      <c r="C59" s="1"/>
      <c r="D59" s="1"/>
      <c r="E59" s="1"/>
      <c r="F59" s="1"/>
      <c r="G59" s="1"/>
      <c r="H59" s="1"/>
      <c r="I59" s="1"/>
      <c r="J59" s="1"/>
      <c r="K59" s="34"/>
      <c r="L59" s="34"/>
      <c r="M59" s="34"/>
      <c r="N59" s="34"/>
      <c r="O59" s="34"/>
      <c r="P59" s="34"/>
      <c r="Q59" s="34"/>
      <c r="R59" s="34"/>
      <c r="S59" s="34"/>
      <c r="T59" s="42"/>
      <c r="U59" s="1"/>
    </row>
    <row r="60" spans="1:21" s="32" customFormat="1" ht="16.5" hidden="1" customHeight="1" x14ac:dyDescent="0.25">
      <c r="A60" s="31"/>
      <c r="B60" s="31"/>
      <c r="C60" s="1"/>
      <c r="D60" s="1"/>
      <c r="E60" s="1"/>
      <c r="F60" s="1"/>
      <c r="G60" s="1"/>
      <c r="H60" s="1"/>
      <c r="I60" s="1"/>
      <c r="J60" s="1"/>
      <c r="K60" s="34"/>
      <c r="L60" s="34"/>
      <c r="M60" s="34"/>
      <c r="N60" s="34"/>
      <c r="O60" s="34"/>
      <c r="P60" s="34"/>
      <c r="Q60" s="34"/>
      <c r="R60" s="34"/>
      <c r="S60" s="34"/>
      <c r="T60" s="42"/>
      <c r="U60" s="1"/>
    </row>
    <row r="61" spans="1:21" s="32" customFormat="1" ht="16.5" hidden="1" customHeight="1" x14ac:dyDescent="0.25">
      <c r="A61" s="31"/>
      <c r="B61" s="31"/>
      <c r="C61" s="1"/>
      <c r="D61" s="1"/>
      <c r="E61" s="1"/>
      <c r="F61" s="1"/>
      <c r="G61" s="1"/>
      <c r="H61" s="1"/>
      <c r="I61" s="1"/>
      <c r="J61" s="1"/>
      <c r="K61" s="34"/>
      <c r="L61" s="34"/>
      <c r="M61" s="34"/>
      <c r="N61" s="34"/>
      <c r="O61" s="34"/>
      <c r="P61" s="34"/>
      <c r="Q61" s="34"/>
      <c r="R61" s="34"/>
      <c r="S61" s="34"/>
      <c r="T61" s="42"/>
      <c r="U61" s="1"/>
    </row>
    <row r="62" spans="1:21" s="32" customFormat="1" ht="16.5" hidden="1" customHeight="1" x14ac:dyDescent="0.25">
      <c r="A62" s="31"/>
      <c r="B62" s="31"/>
      <c r="C62" s="1"/>
      <c r="D62" s="1"/>
      <c r="E62" s="1"/>
      <c r="F62" s="1"/>
      <c r="G62" s="1"/>
      <c r="H62" s="1"/>
      <c r="I62" s="1"/>
      <c r="J62" s="1"/>
      <c r="K62" s="34"/>
      <c r="L62" s="34"/>
      <c r="M62" s="34"/>
      <c r="N62" s="34"/>
      <c r="O62" s="34"/>
      <c r="P62" s="34"/>
      <c r="Q62" s="34"/>
      <c r="R62" s="34"/>
      <c r="S62" s="34"/>
      <c r="T62" s="42"/>
      <c r="U62" s="1"/>
    </row>
    <row r="63" spans="1:21" s="32" customFormat="1" ht="16.5" hidden="1" customHeight="1" x14ac:dyDescent="0.25">
      <c r="A63" s="31"/>
      <c r="B63" s="31"/>
      <c r="C63" s="1"/>
      <c r="D63" s="1"/>
      <c r="E63" s="1"/>
      <c r="F63" s="1"/>
      <c r="G63" s="1"/>
      <c r="H63" s="1"/>
      <c r="I63" s="1"/>
      <c r="J63" s="1"/>
      <c r="K63" s="34"/>
      <c r="L63" s="34"/>
      <c r="M63" s="34"/>
      <c r="N63" s="34"/>
      <c r="O63" s="34"/>
      <c r="P63" s="34"/>
      <c r="Q63" s="34"/>
      <c r="R63" s="34"/>
      <c r="S63" s="34"/>
      <c r="T63" s="42"/>
      <c r="U63" s="1"/>
    </row>
    <row r="64" spans="1:21" s="32" customFormat="1" ht="16.5" hidden="1" customHeight="1" x14ac:dyDescent="0.25">
      <c r="A64" s="31"/>
      <c r="B64" s="31"/>
      <c r="C64" s="1"/>
      <c r="D64" s="1"/>
      <c r="E64" s="1"/>
      <c r="F64" s="1"/>
      <c r="G64" s="1"/>
      <c r="H64" s="1"/>
      <c r="I64" s="1"/>
      <c r="J64" s="1"/>
      <c r="K64" s="34"/>
      <c r="L64" s="34"/>
      <c r="M64" s="34"/>
      <c r="N64" s="34"/>
      <c r="O64" s="34"/>
      <c r="P64" s="34"/>
      <c r="Q64" s="34"/>
      <c r="R64" s="34"/>
      <c r="S64" s="34"/>
      <c r="T64" s="42"/>
      <c r="U64" s="1"/>
    </row>
    <row r="65" spans="1:21" s="32" customFormat="1" ht="16.5" hidden="1" customHeight="1" x14ac:dyDescent="0.25">
      <c r="A65" s="31"/>
      <c r="B65" s="31"/>
      <c r="C65" s="1"/>
      <c r="D65" s="1"/>
      <c r="E65" s="1"/>
      <c r="F65" s="1"/>
      <c r="G65" s="1"/>
      <c r="H65" s="1"/>
      <c r="I65" s="1"/>
      <c r="J65" s="1"/>
      <c r="K65" s="34"/>
      <c r="L65" s="34"/>
      <c r="M65" s="34"/>
      <c r="N65" s="34"/>
      <c r="O65" s="34"/>
      <c r="P65" s="34"/>
      <c r="Q65" s="34"/>
      <c r="R65" s="34"/>
      <c r="S65" s="34"/>
      <c r="T65" s="42"/>
      <c r="U65" s="1"/>
    </row>
    <row r="66" spans="1:21" s="32" customFormat="1" ht="16.5" hidden="1" customHeight="1" x14ac:dyDescent="0.25">
      <c r="A66" s="31"/>
      <c r="B66" s="31"/>
      <c r="C66" s="1"/>
      <c r="D66" s="1"/>
      <c r="E66" s="1"/>
      <c r="F66" s="1"/>
      <c r="G66" s="1"/>
      <c r="H66" s="1"/>
      <c r="I66" s="1"/>
      <c r="J66" s="1"/>
      <c r="K66" s="34"/>
      <c r="L66" s="34"/>
      <c r="M66" s="34"/>
      <c r="N66" s="34"/>
      <c r="O66" s="34"/>
      <c r="P66" s="34"/>
      <c r="Q66" s="34"/>
      <c r="R66" s="34"/>
      <c r="S66" s="34"/>
      <c r="T66" s="42"/>
      <c r="U66" s="1"/>
    </row>
    <row r="67" spans="1:21" s="32" customFormat="1" ht="16.5" hidden="1" customHeight="1" x14ac:dyDescent="0.25">
      <c r="A67" s="31"/>
      <c r="B67" s="31"/>
      <c r="C67" s="1"/>
      <c r="D67" s="1"/>
      <c r="E67" s="1"/>
      <c r="F67" s="1"/>
      <c r="G67" s="1"/>
      <c r="H67" s="1"/>
      <c r="I67" s="1"/>
      <c r="J67" s="1"/>
      <c r="K67" s="34"/>
      <c r="L67" s="34"/>
      <c r="M67" s="34"/>
      <c r="N67" s="34"/>
      <c r="O67" s="34"/>
      <c r="P67" s="34"/>
      <c r="Q67" s="34"/>
      <c r="R67" s="34"/>
      <c r="S67" s="34"/>
      <c r="T67" s="42"/>
      <c r="U67" s="1"/>
    </row>
    <row r="68" spans="1:21" s="32" customFormat="1" ht="16.5" hidden="1" customHeight="1" x14ac:dyDescent="0.25">
      <c r="A68" s="31"/>
      <c r="B68" s="31"/>
      <c r="C68" s="1"/>
      <c r="D68" s="1"/>
      <c r="E68" s="1"/>
      <c r="F68" s="1"/>
      <c r="G68" s="1"/>
      <c r="H68" s="1"/>
      <c r="I68" s="1"/>
      <c r="J68" s="1"/>
      <c r="K68" s="34"/>
      <c r="L68" s="34"/>
      <c r="M68" s="34"/>
      <c r="N68" s="34"/>
      <c r="O68" s="34"/>
      <c r="P68" s="34"/>
      <c r="Q68" s="34"/>
      <c r="R68" s="34"/>
      <c r="S68" s="34"/>
      <c r="T68" s="42"/>
      <c r="U68" s="1"/>
    </row>
    <row r="69" spans="1:21" s="32" customFormat="1" ht="16.5" hidden="1" customHeight="1" x14ac:dyDescent="0.25">
      <c r="A69" s="31"/>
      <c r="B69" s="31"/>
      <c r="C69" s="1"/>
      <c r="D69" s="1"/>
      <c r="E69" s="1"/>
      <c r="F69" s="1"/>
      <c r="G69" s="1"/>
      <c r="H69" s="1"/>
      <c r="I69" s="1"/>
      <c r="J69" s="1"/>
      <c r="K69" s="34"/>
      <c r="L69" s="34"/>
      <c r="M69" s="34"/>
      <c r="N69" s="34"/>
      <c r="O69" s="34"/>
      <c r="P69" s="34"/>
      <c r="Q69" s="34"/>
      <c r="R69" s="34"/>
      <c r="S69" s="34"/>
      <c r="T69" s="42"/>
      <c r="U69" s="1"/>
    </row>
    <row r="70" spans="1:21" s="32" customFormat="1" ht="16.5" hidden="1" customHeight="1" x14ac:dyDescent="0.25">
      <c r="A70" s="31"/>
      <c r="B70" s="31"/>
      <c r="C70" s="1"/>
      <c r="D70" s="1"/>
      <c r="E70" s="1"/>
      <c r="F70" s="1"/>
      <c r="G70" s="1"/>
      <c r="H70" s="1"/>
      <c r="I70" s="1"/>
      <c r="J70" s="1"/>
      <c r="K70" s="34"/>
      <c r="L70" s="34"/>
      <c r="M70" s="34"/>
      <c r="N70" s="34"/>
      <c r="O70" s="34"/>
      <c r="P70" s="34"/>
      <c r="Q70" s="34"/>
      <c r="R70" s="34"/>
      <c r="S70" s="34"/>
      <c r="T70" s="42"/>
      <c r="U70" s="1"/>
    </row>
    <row r="71" spans="1:21" s="32" customFormat="1" ht="16.5" hidden="1" customHeight="1" x14ac:dyDescent="0.25">
      <c r="A71" s="31"/>
      <c r="B71" s="31"/>
      <c r="C71" s="1"/>
      <c r="D71" s="1"/>
      <c r="E71" s="1"/>
      <c r="F71" s="1"/>
      <c r="G71" s="1"/>
      <c r="H71" s="1"/>
      <c r="I71" s="1"/>
      <c r="J71" s="1"/>
      <c r="K71" s="34"/>
      <c r="L71" s="34"/>
      <c r="M71" s="34"/>
      <c r="N71" s="34"/>
      <c r="O71" s="34"/>
      <c r="P71" s="34"/>
      <c r="Q71" s="34"/>
      <c r="R71" s="34"/>
      <c r="S71" s="34"/>
      <c r="T71" s="42"/>
      <c r="U71" s="1"/>
    </row>
    <row r="72" spans="1:21" s="32" customFormat="1" ht="16.5" hidden="1" customHeight="1" x14ac:dyDescent="0.25">
      <c r="A72" s="40"/>
      <c r="B72" s="38"/>
      <c r="C72" s="40"/>
      <c r="D72" s="36"/>
      <c r="E72" s="2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2"/>
      <c r="U72" s="31"/>
    </row>
    <row r="73" spans="1:21" s="32" customFormat="1" ht="16.5" hidden="1" customHeight="1" x14ac:dyDescent="0.25">
      <c r="A73" s="40"/>
      <c r="B73" s="38"/>
      <c r="C73" s="35"/>
      <c r="D73" s="36"/>
      <c r="E73" s="2"/>
      <c r="F73" s="34"/>
      <c r="G73" s="34"/>
      <c r="H73" s="34"/>
      <c r="I73" s="34"/>
      <c r="J73" s="34"/>
      <c r="K73" s="34"/>
      <c r="L73" s="34"/>
      <c r="M73" s="34" t="s">
        <v>9</v>
      </c>
      <c r="N73" s="34"/>
      <c r="O73" s="34"/>
      <c r="P73" s="34"/>
      <c r="Q73" s="34"/>
      <c r="R73" s="34"/>
      <c r="S73" s="34"/>
      <c r="T73" s="2"/>
      <c r="U73" s="31" t="s">
        <v>9</v>
      </c>
    </row>
    <row r="74" spans="1:21" hidden="1" x14ac:dyDescent="0.3"/>
    <row r="75" spans="1:21" hidden="1" x14ac:dyDescent="0.3"/>
    <row r="76" spans="1:21" s="29" customFormat="1" ht="18" hidden="1" customHeight="1" x14ac:dyDescent="0.3">
      <c r="B76" s="110" t="s">
        <v>12</v>
      </c>
      <c r="C76" s="110"/>
      <c r="D76" s="5"/>
      <c r="E76" s="5"/>
      <c r="I76" s="97" t="s">
        <v>13</v>
      </c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4"/>
      <c r="U76" s="48"/>
    </row>
    <row r="77" spans="1:21" hidden="1" x14ac:dyDescent="0.3"/>
    <row r="78" spans="1:21" hidden="1" x14ac:dyDescent="0.3"/>
    <row r="79" spans="1:21" hidden="1" x14ac:dyDescent="0.3"/>
    <row r="80" spans="1:21" hidden="1" x14ac:dyDescent="0.3"/>
    <row r="81" spans="11:18" hidden="1" x14ac:dyDescent="0.3"/>
    <row r="82" spans="11:18" hidden="1" x14ac:dyDescent="0.3">
      <c r="K82" s="97" t="s">
        <v>23</v>
      </c>
      <c r="L82" s="97"/>
      <c r="M82" s="97"/>
      <c r="N82" s="97"/>
      <c r="O82" s="97"/>
      <c r="P82" s="97"/>
      <c r="Q82" s="97"/>
      <c r="R82" s="97"/>
    </row>
  </sheetData>
  <mergeCells count="34">
    <mergeCell ref="A45:U45"/>
    <mergeCell ref="K82:R82"/>
    <mergeCell ref="T48:U48"/>
    <mergeCell ref="C49:E49"/>
    <mergeCell ref="A51:A54"/>
    <mergeCell ref="A55:A58"/>
    <mergeCell ref="B76:C76"/>
    <mergeCell ref="I76:S76"/>
    <mergeCell ref="A48:A50"/>
    <mergeCell ref="B48:B50"/>
    <mergeCell ref="C48:E48"/>
    <mergeCell ref="F48:L48"/>
    <mergeCell ref="M48:S48"/>
    <mergeCell ref="M7:S7"/>
    <mergeCell ref="B36:C36"/>
    <mergeCell ref="A42:D42"/>
    <mergeCell ref="A43:D43"/>
    <mergeCell ref="L43:S43"/>
    <mergeCell ref="A5:U5"/>
    <mergeCell ref="A1:D1"/>
    <mergeCell ref="A2:D2"/>
    <mergeCell ref="A4:U4"/>
    <mergeCell ref="A46:U46"/>
    <mergeCell ref="A23:A28"/>
    <mergeCell ref="A29:A34"/>
    <mergeCell ref="T7:T9"/>
    <mergeCell ref="U7:U9"/>
    <mergeCell ref="C8:E8"/>
    <mergeCell ref="A10:A15"/>
    <mergeCell ref="A16:A22"/>
    <mergeCell ref="A7:A9"/>
    <mergeCell ref="B7:B9"/>
    <mergeCell ref="C7:E7"/>
    <mergeCell ref="F7:L7"/>
  </mergeCells>
  <pageMargins left="0.31496062992126" right="0.196850393700787" top="0.511811023622047" bottom="0.511811023622047" header="0.31496062992126" footer="0.31496062992126"/>
  <pageSetup paperSize="9" scale="86" orientation="landscape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2760-4D47-455B-95E3-EDF5CD251B1A}">
  <dimension ref="A1:AP63"/>
  <sheetViews>
    <sheetView zoomScale="118" zoomScaleNormal="118" workbookViewId="0">
      <selection activeCell="D10" sqref="D10:D13"/>
    </sheetView>
  </sheetViews>
  <sheetFormatPr defaultRowHeight="18.75" x14ac:dyDescent="0.3"/>
  <cols>
    <col min="1" max="1" width="10.6640625" style="30" customWidth="1"/>
    <col min="2" max="2" width="15.21875" style="30" customWidth="1"/>
    <col min="3" max="3" width="15" style="30" customWidth="1"/>
    <col min="4" max="4" width="7.44140625" style="4" customWidth="1"/>
    <col min="5" max="5" width="5.6640625" style="4" customWidth="1"/>
    <col min="6" max="40" width="2" style="30" customWidth="1"/>
    <col min="41" max="41" width="3.33203125" style="4" customWidth="1"/>
    <col min="42" max="42" width="5.21875" style="55" customWidth="1"/>
    <col min="43" max="16384" width="8.88671875" style="30"/>
  </cols>
  <sheetData>
    <row r="1" spans="1:42" s="27" customFormat="1" ht="18" customHeight="1" x14ac:dyDescent="0.25">
      <c r="A1" s="98" t="s">
        <v>96</v>
      </c>
      <c r="B1" s="98"/>
      <c r="C1" s="98"/>
      <c r="D1" s="98"/>
      <c r="E1" s="3"/>
      <c r="L1" s="121" t="s">
        <v>1</v>
      </c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28"/>
      <c r="AH1" s="28"/>
      <c r="AI1" s="28"/>
      <c r="AJ1" s="28"/>
      <c r="AK1" s="28"/>
      <c r="AL1" s="28"/>
      <c r="AM1" s="28"/>
      <c r="AN1" s="28"/>
      <c r="AO1" s="43"/>
      <c r="AP1" s="55"/>
    </row>
    <row r="2" spans="1:42" s="27" customFormat="1" ht="16.5" customHeight="1" x14ac:dyDescent="0.3">
      <c r="A2" s="97" t="s">
        <v>106</v>
      </c>
      <c r="B2" s="97"/>
      <c r="C2" s="97"/>
      <c r="D2" s="97"/>
      <c r="E2" s="3"/>
      <c r="L2" s="97" t="s">
        <v>3</v>
      </c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29"/>
      <c r="AH2" s="29"/>
      <c r="AI2" s="29"/>
      <c r="AJ2" s="29"/>
      <c r="AK2" s="29"/>
      <c r="AL2" s="29"/>
      <c r="AM2" s="29"/>
      <c r="AN2" s="29"/>
      <c r="AO2" s="43"/>
      <c r="AP2" s="55"/>
    </row>
    <row r="3" spans="1:42" ht="12" customHeight="1" x14ac:dyDescent="0.3"/>
    <row r="4" spans="1:42" ht="18.75" customHeight="1" x14ac:dyDescent="0.3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</row>
    <row r="5" spans="1:42" ht="16.5" customHeight="1" x14ac:dyDescent="0.3">
      <c r="A5" s="97" t="s">
        <v>143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</row>
    <row r="6" spans="1:42" ht="1.5" customHeight="1" x14ac:dyDescent="0.3"/>
    <row r="7" spans="1:42" s="32" customFormat="1" ht="16.5" customHeight="1" x14ac:dyDescent="0.25">
      <c r="A7" s="102" t="s">
        <v>4</v>
      </c>
      <c r="B7" s="102" t="s">
        <v>6</v>
      </c>
      <c r="C7" s="106" t="s">
        <v>11</v>
      </c>
      <c r="D7" s="106"/>
      <c r="E7" s="106"/>
      <c r="F7" s="106">
        <v>1</v>
      </c>
      <c r="G7" s="106"/>
      <c r="H7" s="106"/>
      <c r="I7" s="106"/>
      <c r="J7" s="106"/>
      <c r="K7" s="106"/>
      <c r="L7" s="106"/>
      <c r="M7" s="106">
        <v>2</v>
      </c>
      <c r="N7" s="106"/>
      <c r="O7" s="106"/>
      <c r="P7" s="106"/>
      <c r="Q7" s="106"/>
      <c r="R7" s="106"/>
      <c r="S7" s="106"/>
      <c r="T7" s="106">
        <v>3</v>
      </c>
      <c r="U7" s="106"/>
      <c r="V7" s="106"/>
      <c r="W7" s="106"/>
      <c r="X7" s="106"/>
      <c r="Y7" s="106"/>
      <c r="Z7" s="106"/>
      <c r="AA7" s="106">
        <v>4</v>
      </c>
      <c r="AB7" s="106"/>
      <c r="AC7" s="106"/>
      <c r="AD7" s="106"/>
      <c r="AE7" s="106"/>
      <c r="AF7" s="106"/>
      <c r="AG7" s="106"/>
      <c r="AH7" s="106">
        <v>5</v>
      </c>
      <c r="AI7" s="106"/>
      <c r="AJ7" s="106"/>
      <c r="AK7" s="106"/>
      <c r="AL7" s="106"/>
      <c r="AM7" s="106"/>
      <c r="AN7" s="106"/>
      <c r="AO7" s="119" t="s">
        <v>8</v>
      </c>
      <c r="AP7" s="120" t="s">
        <v>41</v>
      </c>
    </row>
    <row r="8" spans="1:42" s="32" customFormat="1" ht="16.5" customHeight="1" x14ac:dyDescent="0.25">
      <c r="A8" s="102"/>
      <c r="B8" s="102"/>
      <c r="C8" s="106" t="s">
        <v>10</v>
      </c>
      <c r="D8" s="106"/>
      <c r="E8" s="106"/>
      <c r="F8" s="1">
        <v>31</v>
      </c>
      <c r="G8" s="1">
        <v>1</v>
      </c>
      <c r="H8" s="1">
        <v>2</v>
      </c>
      <c r="I8" s="1">
        <v>3</v>
      </c>
      <c r="J8" s="1">
        <v>4</v>
      </c>
      <c r="K8" s="33">
        <v>5</v>
      </c>
      <c r="L8" s="33">
        <v>6</v>
      </c>
      <c r="M8" s="1">
        <v>7</v>
      </c>
      <c r="N8" s="1">
        <v>8</v>
      </c>
      <c r="O8" s="1">
        <v>9</v>
      </c>
      <c r="P8" s="1">
        <v>10</v>
      </c>
      <c r="Q8" s="1">
        <v>11</v>
      </c>
      <c r="R8" s="33">
        <v>12</v>
      </c>
      <c r="S8" s="33">
        <v>13</v>
      </c>
      <c r="T8" s="1">
        <v>14</v>
      </c>
      <c r="U8" s="1">
        <v>15</v>
      </c>
      <c r="V8" s="1">
        <v>16</v>
      </c>
      <c r="W8" s="1">
        <v>17</v>
      </c>
      <c r="X8" s="1">
        <v>18</v>
      </c>
      <c r="Y8" s="33">
        <v>19</v>
      </c>
      <c r="Z8" s="33">
        <v>20</v>
      </c>
      <c r="AA8" s="1">
        <v>21</v>
      </c>
      <c r="AB8" s="1">
        <v>22</v>
      </c>
      <c r="AC8" s="1">
        <v>23</v>
      </c>
      <c r="AD8" s="1">
        <v>24</v>
      </c>
      <c r="AE8" s="1">
        <v>25</v>
      </c>
      <c r="AF8" s="33">
        <v>26</v>
      </c>
      <c r="AG8" s="33">
        <v>27</v>
      </c>
      <c r="AH8" s="1">
        <v>28</v>
      </c>
      <c r="AI8" s="1">
        <v>29</v>
      </c>
      <c r="AJ8" s="1">
        <v>30</v>
      </c>
      <c r="AK8" s="1">
        <v>1</v>
      </c>
      <c r="AL8" s="1">
        <v>2</v>
      </c>
      <c r="AM8" s="33">
        <v>3</v>
      </c>
      <c r="AN8" s="33">
        <v>4</v>
      </c>
      <c r="AO8" s="119"/>
      <c r="AP8" s="120"/>
    </row>
    <row r="9" spans="1:42" s="32" customFormat="1" ht="16.5" customHeight="1" x14ac:dyDescent="0.25">
      <c r="A9" s="102"/>
      <c r="B9" s="102"/>
      <c r="C9" s="1" t="s">
        <v>5</v>
      </c>
      <c r="D9" s="1" t="s">
        <v>19</v>
      </c>
      <c r="E9" s="1" t="s">
        <v>18</v>
      </c>
      <c r="F9" s="1">
        <v>2</v>
      </c>
      <c r="G9" s="1">
        <v>3</v>
      </c>
      <c r="H9" s="1">
        <v>4</v>
      </c>
      <c r="I9" s="1">
        <v>5</v>
      </c>
      <c r="J9" s="1">
        <v>6</v>
      </c>
      <c r="K9" s="33">
        <v>7</v>
      </c>
      <c r="L9" s="33" t="s">
        <v>7</v>
      </c>
      <c r="M9" s="1">
        <v>2</v>
      </c>
      <c r="N9" s="1">
        <v>3</v>
      </c>
      <c r="O9" s="1">
        <v>4</v>
      </c>
      <c r="P9" s="1">
        <v>5</v>
      </c>
      <c r="Q9" s="1">
        <v>6</v>
      </c>
      <c r="R9" s="33">
        <v>7</v>
      </c>
      <c r="S9" s="33" t="s">
        <v>7</v>
      </c>
      <c r="T9" s="1">
        <v>2</v>
      </c>
      <c r="U9" s="1">
        <v>3</v>
      </c>
      <c r="V9" s="1">
        <v>4</v>
      </c>
      <c r="W9" s="1">
        <v>5</v>
      </c>
      <c r="X9" s="1">
        <v>6</v>
      </c>
      <c r="Y9" s="33">
        <v>7</v>
      </c>
      <c r="Z9" s="33" t="s">
        <v>7</v>
      </c>
      <c r="AA9" s="1">
        <v>2</v>
      </c>
      <c r="AB9" s="1">
        <v>3</v>
      </c>
      <c r="AC9" s="1">
        <v>4</v>
      </c>
      <c r="AD9" s="1">
        <v>5</v>
      </c>
      <c r="AE9" s="1">
        <v>6</v>
      </c>
      <c r="AF9" s="33">
        <v>7</v>
      </c>
      <c r="AG9" s="33" t="s">
        <v>7</v>
      </c>
      <c r="AH9" s="1">
        <v>2</v>
      </c>
      <c r="AI9" s="1">
        <v>3</v>
      </c>
      <c r="AJ9" s="1">
        <v>4</v>
      </c>
      <c r="AK9" s="1">
        <v>5</v>
      </c>
      <c r="AL9" s="1">
        <v>6</v>
      </c>
      <c r="AM9" s="33">
        <v>7</v>
      </c>
      <c r="AN9" s="33" t="s">
        <v>7</v>
      </c>
      <c r="AO9" s="119"/>
      <c r="AP9" s="120"/>
    </row>
    <row r="10" spans="1:42" s="32" customFormat="1" ht="21" customHeight="1" x14ac:dyDescent="0.25">
      <c r="A10" s="118" t="s">
        <v>170</v>
      </c>
      <c r="B10" s="111" t="s">
        <v>123</v>
      </c>
      <c r="C10" s="99" t="s">
        <v>35</v>
      </c>
      <c r="D10" s="118" t="s">
        <v>173</v>
      </c>
      <c r="E10" s="2" t="s">
        <v>17</v>
      </c>
      <c r="F10" s="2"/>
      <c r="G10" s="2"/>
      <c r="H10" s="2"/>
      <c r="I10" s="2"/>
      <c r="J10" s="2"/>
      <c r="K10" s="37"/>
      <c r="L10" s="37"/>
      <c r="M10" s="2"/>
      <c r="N10" s="2"/>
      <c r="O10" s="2"/>
      <c r="P10" s="2"/>
      <c r="Q10" s="2"/>
      <c r="R10" s="37"/>
      <c r="S10" s="37"/>
      <c r="T10" s="2"/>
      <c r="U10" s="2"/>
      <c r="V10" s="2"/>
      <c r="W10" s="2"/>
      <c r="X10" s="2"/>
      <c r="Y10" s="37">
        <v>4</v>
      </c>
      <c r="Z10" s="37"/>
      <c r="AA10" s="2"/>
      <c r="AB10" s="2"/>
      <c r="AC10" s="2"/>
      <c r="AD10" s="2"/>
      <c r="AE10" s="2"/>
      <c r="AF10" s="37">
        <v>4</v>
      </c>
      <c r="AG10" s="37"/>
      <c r="AH10" s="2"/>
      <c r="AI10" s="2"/>
      <c r="AJ10" s="2"/>
      <c r="AK10" s="2"/>
      <c r="AL10" s="2"/>
      <c r="AM10" s="37"/>
      <c r="AN10" s="37"/>
      <c r="AO10" s="113">
        <v>15</v>
      </c>
      <c r="AP10" s="115" t="s">
        <v>144</v>
      </c>
    </row>
    <row r="11" spans="1:42" s="32" customFormat="1" ht="21" customHeight="1" x14ac:dyDescent="0.25">
      <c r="A11" s="118"/>
      <c r="B11" s="112"/>
      <c r="C11" s="101"/>
      <c r="D11" s="118"/>
      <c r="E11" s="2" t="s">
        <v>16</v>
      </c>
      <c r="F11" s="2"/>
      <c r="G11" s="2"/>
      <c r="H11" s="2"/>
      <c r="I11" s="2"/>
      <c r="J11" s="2"/>
      <c r="K11" s="37"/>
      <c r="L11" s="37"/>
      <c r="M11" s="2"/>
      <c r="N11" s="2"/>
      <c r="O11" s="2"/>
      <c r="P11" s="2"/>
      <c r="Q11" s="2"/>
      <c r="R11" s="37"/>
      <c r="S11" s="37"/>
      <c r="T11" s="2"/>
      <c r="U11" s="2"/>
      <c r="V11" s="2"/>
      <c r="W11" s="2"/>
      <c r="X11" s="2"/>
      <c r="Y11" s="37">
        <v>4</v>
      </c>
      <c r="Z11" s="37"/>
      <c r="AA11" s="2"/>
      <c r="AB11" s="2"/>
      <c r="AC11" s="2"/>
      <c r="AD11" s="2"/>
      <c r="AE11" s="2"/>
      <c r="AF11" s="37">
        <v>3</v>
      </c>
      <c r="AG11" s="37"/>
      <c r="AH11" s="2"/>
      <c r="AI11" s="2"/>
      <c r="AJ11" s="2"/>
      <c r="AK11" s="2"/>
      <c r="AL11" s="2"/>
      <c r="AM11" s="37"/>
      <c r="AN11" s="37"/>
      <c r="AO11" s="114"/>
      <c r="AP11" s="116"/>
    </row>
    <row r="12" spans="1:42" s="32" customFormat="1" ht="21" customHeight="1" x14ac:dyDescent="0.25">
      <c r="A12" s="118"/>
      <c r="B12" s="111" t="s">
        <v>171</v>
      </c>
      <c r="C12" s="99" t="s">
        <v>94</v>
      </c>
      <c r="D12" s="118"/>
      <c r="E12" s="2" t="s">
        <v>17</v>
      </c>
      <c r="F12" s="2"/>
      <c r="G12" s="2"/>
      <c r="H12" s="2"/>
      <c r="I12" s="2"/>
      <c r="J12" s="2"/>
      <c r="K12" s="37"/>
      <c r="L12" s="37"/>
      <c r="M12" s="2"/>
      <c r="N12" s="2"/>
      <c r="O12" s="2"/>
      <c r="P12" s="2"/>
      <c r="Q12" s="2"/>
      <c r="R12" s="37"/>
      <c r="S12" s="37"/>
      <c r="T12" s="2"/>
      <c r="U12" s="2"/>
      <c r="V12" s="2"/>
      <c r="W12" s="2"/>
      <c r="X12" s="2"/>
      <c r="Y12" s="37"/>
      <c r="Z12" s="37"/>
      <c r="AA12" s="2"/>
      <c r="AB12" s="2"/>
      <c r="AC12" s="2"/>
      <c r="AD12" s="2"/>
      <c r="AE12" s="2"/>
      <c r="AF12" s="37"/>
      <c r="AG12" s="37"/>
      <c r="AH12" s="2"/>
      <c r="AI12" s="2"/>
      <c r="AJ12" s="2"/>
      <c r="AK12" s="2"/>
      <c r="AL12" s="2"/>
      <c r="AM12" s="37">
        <v>4</v>
      </c>
      <c r="AN12" s="37"/>
      <c r="AO12" s="113">
        <v>8</v>
      </c>
      <c r="AP12" s="117" t="s">
        <v>130</v>
      </c>
    </row>
    <row r="13" spans="1:42" s="32" customFormat="1" ht="25.5" customHeight="1" x14ac:dyDescent="0.25">
      <c r="A13" s="118"/>
      <c r="B13" s="112"/>
      <c r="C13" s="101"/>
      <c r="D13" s="118"/>
      <c r="E13" s="2" t="s">
        <v>16</v>
      </c>
      <c r="F13" s="2"/>
      <c r="G13" s="2"/>
      <c r="H13" s="2"/>
      <c r="I13" s="2"/>
      <c r="J13" s="2"/>
      <c r="K13" s="37"/>
      <c r="L13" s="37"/>
      <c r="M13" s="2"/>
      <c r="N13" s="2"/>
      <c r="O13" s="2"/>
      <c r="P13" s="2"/>
      <c r="Q13" s="2"/>
      <c r="R13" s="37"/>
      <c r="S13" s="37"/>
      <c r="T13" s="2"/>
      <c r="U13" s="2"/>
      <c r="V13" s="2"/>
      <c r="W13" s="2"/>
      <c r="X13" s="2"/>
      <c r="Y13" s="37"/>
      <c r="Z13" s="37"/>
      <c r="AA13" s="2"/>
      <c r="AB13" s="2"/>
      <c r="AC13" s="2"/>
      <c r="AD13" s="2"/>
      <c r="AE13" s="2"/>
      <c r="AF13" s="37"/>
      <c r="AG13" s="37"/>
      <c r="AH13" s="2"/>
      <c r="AI13" s="2"/>
      <c r="AJ13" s="2"/>
      <c r="AK13" s="2"/>
      <c r="AL13" s="2"/>
      <c r="AM13" s="37">
        <v>4</v>
      </c>
      <c r="AN13" s="37"/>
      <c r="AO13" s="114"/>
      <c r="AP13" s="116"/>
    </row>
    <row r="14" spans="1:42" x14ac:dyDescent="0.3">
      <c r="AB14" s="39" t="s">
        <v>172</v>
      </c>
      <c r="AG14" s="39"/>
      <c r="AH14" s="39"/>
      <c r="AI14" s="39"/>
      <c r="AJ14" s="39"/>
      <c r="AK14" s="39"/>
      <c r="AL14" s="39"/>
      <c r="AM14" s="39"/>
      <c r="AN14" s="39"/>
    </row>
    <row r="15" spans="1:42" s="29" customFormat="1" x14ac:dyDescent="0.3">
      <c r="B15" s="107" t="s">
        <v>12</v>
      </c>
      <c r="C15" s="107"/>
      <c r="D15" s="5"/>
      <c r="E15" s="29" t="s">
        <v>28</v>
      </c>
      <c r="AB15" s="5" t="s">
        <v>14</v>
      </c>
      <c r="AC15" s="5"/>
      <c r="AG15" s="5"/>
      <c r="AH15" s="5"/>
      <c r="AI15" s="5"/>
      <c r="AJ15" s="5"/>
      <c r="AK15" s="5"/>
      <c r="AL15" s="5"/>
      <c r="AM15" s="5"/>
      <c r="AN15" s="5"/>
      <c r="AO15" s="4"/>
      <c r="AP15" s="55"/>
    </row>
    <row r="16" spans="1:42" x14ac:dyDescent="0.3">
      <c r="D16" s="4" t="s">
        <v>29</v>
      </c>
      <c r="AB16" s="29"/>
    </row>
    <row r="18" spans="1:42" ht="12.75" customHeight="1" x14ac:dyDescent="0.3"/>
    <row r="19" spans="1:42" ht="12" customHeight="1" x14ac:dyDescent="0.3"/>
    <row r="20" spans="1:42" ht="10.5" customHeight="1" x14ac:dyDescent="0.3"/>
    <row r="21" spans="1:42" x14ac:dyDescent="0.3">
      <c r="E21" s="29" t="s">
        <v>113</v>
      </c>
      <c r="K21" s="29"/>
      <c r="L21" s="29"/>
      <c r="M21" s="29"/>
      <c r="N21" s="29"/>
      <c r="O21" s="29"/>
      <c r="P21" s="29"/>
      <c r="Q21" s="29"/>
      <c r="R21" s="29"/>
      <c r="Y21" s="29" t="s">
        <v>22</v>
      </c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</row>
    <row r="23" spans="1:42" s="27" customFormat="1" ht="18" hidden="1" customHeight="1" x14ac:dyDescent="0.25">
      <c r="A23" s="108" t="s">
        <v>0</v>
      </c>
      <c r="B23" s="108"/>
      <c r="C23" s="108"/>
      <c r="D23" s="108"/>
      <c r="E23" s="3"/>
      <c r="P23" s="28" t="s">
        <v>1</v>
      </c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43"/>
      <c r="AP23" s="55"/>
    </row>
    <row r="24" spans="1:42" s="27" customFormat="1" ht="16.5" hidden="1" customHeight="1" x14ac:dyDescent="0.25">
      <c r="A24" s="109" t="s">
        <v>2</v>
      </c>
      <c r="B24" s="109"/>
      <c r="C24" s="109"/>
      <c r="D24" s="109"/>
      <c r="E24" s="3"/>
      <c r="L24" s="109" t="s">
        <v>3</v>
      </c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52"/>
      <c r="AI24" s="52"/>
      <c r="AJ24" s="52"/>
      <c r="AK24" s="52"/>
      <c r="AL24" s="52"/>
      <c r="AM24" s="52"/>
      <c r="AN24" s="52"/>
      <c r="AO24" s="43"/>
      <c r="AP24" s="55"/>
    </row>
    <row r="25" spans="1:42" ht="16.5" hidden="1" customHeight="1" x14ac:dyDescent="0.3"/>
    <row r="26" spans="1:42" ht="16.5" hidden="1" customHeight="1" x14ac:dyDescent="0.3">
      <c r="A26" s="97" t="s">
        <v>20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</row>
    <row r="27" spans="1:42" ht="16.5" hidden="1" customHeight="1" x14ac:dyDescent="0.3">
      <c r="A27" s="97" t="s">
        <v>24</v>
      </c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</row>
    <row r="28" spans="1:42" ht="16.5" hidden="1" customHeight="1" x14ac:dyDescent="0.3"/>
    <row r="29" spans="1:42" s="32" customFormat="1" ht="16.5" hidden="1" customHeight="1" x14ac:dyDescent="0.25">
      <c r="A29" s="102" t="s">
        <v>4</v>
      </c>
      <c r="B29" s="102" t="s">
        <v>5</v>
      </c>
      <c r="C29" s="103" t="s">
        <v>11</v>
      </c>
      <c r="D29" s="104"/>
      <c r="E29" s="105"/>
      <c r="F29" s="106">
        <v>1</v>
      </c>
      <c r="G29" s="106"/>
      <c r="H29" s="106"/>
      <c r="I29" s="106"/>
      <c r="J29" s="106"/>
      <c r="K29" s="106"/>
      <c r="L29" s="106"/>
      <c r="M29" s="106">
        <v>2</v>
      </c>
      <c r="N29" s="106"/>
      <c r="O29" s="106"/>
      <c r="P29" s="106"/>
      <c r="Q29" s="106"/>
      <c r="R29" s="106"/>
      <c r="S29" s="106"/>
      <c r="T29" s="106">
        <v>3</v>
      </c>
      <c r="U29" s="106"/>
      <c r="V29" s="106"/>
      <c r="W29" s="106"/>
      <c r="X29" s="106"/>
      <c r="Y29" s="106"/>
      <c r="Z29" s="106"/>
      <c r="AA29" s="106">
        <v>4</v>
      </c>
      <c r="AB29" s="106"/>
      <c r="AC29" s="106"/>
      <c r="AD29" s="106"/>
      <c r="AE29" s="106"/>
      <c r="AF29" s="106"/>
      <c r="AG29" s="106"/>
      <c r="AH29" s="51"/>
      <c r="AI29" s="51"/>
      <c r="AJ29" s="51"/>
      <c r="AK29" s="51"/>
      <c r="AL29" s="51"/>
      <c r="AM29" s="51"/>
      <c r="AN29" s="51"/>
      <c r="AO29" s="104"/>
      <c r="AP29" s="105"/>
    </row>
    <row r="30" spans="1:42" s="32" customFormat="1" ht="16.5" hidden="1" customHeight="1" x14ac:dyDescent="0.25">
      <c r="A30" s="102"/>
      <c r="B30" s="102"/>
      <c r="C30" s="103" t="s">
        <v>10</v>
      </c>
      <c r="D30" s="104"/>
      <c r="E30" s="105"/>
      <c r="F30" s="1">
        <v>30</v>
      </c>
      <c r="G30" s="1">
        <v>1</v>
      </c>
      <c r="H30" s="1">
        <v>2</v>
      </c>
      <c r="I30" s="1">
        <v>3</v>
      </c>
      <c r="J30" s="1">
        <v>4</v>
      </c>
      <c r="K30" s="33">
        <v>5</v>
      </c>
      <c r="L30" s="33">
        <v>6</v>
      </c>
      <c r="M30" s="1">
        <v>7</v>
      </c>
      <c r="N30" s="1">
        <v>8</v>
      </c>
      <c r="O30" s="1">
        <v>9</v>
      </c>
      <c r="P30" s="1">
        <v>10</v>
      </c>
      <c r="Q30" s="1">
        <v>11</v>
      </c>
      <c r="R30" s="33">
        <v>12</v>
      </c>
      <c r="S30" s="33">
        <v>13</v>
      </c>
      <c r="T30" s="1">
        <v>14</v>
      </c>
      <c r="U30" s="1">
        <v>15</v>
      </c>
      <c r="V30" s="1">
        <v>16</v>
      </c>
      <c r="W30" s="1">
        <v>17</v>
      </c>
      <c r="X30" s="1">
        <v>18</v>
      </c>
      <c r="Y30" s="33">
        <v>19</v>
      </c>
      <c r="Z30" s="33">
        <v>20</v>
      </c>
      <c r="AA30" s="1">
        <v>21</v>
      </c>
      <c r="AB30" s="1">
        <v>22</v>
      </c>
      <c r="AC30" s="1">
        <v>23</v>
      </c>
      <c r="AD30" s="1">
        <v>24</v>
      </c>
      <c r="AE30" s="1">
        <v>25</v>
      </c>
      <c r="AF30" s="1">
        <v>26</v>
      </c>
      <c r="AG30" s="1">
        <v>27</v>
      </c>
      <c r="AH30" s="1"/>
      <c r="AI30" s="1"/>
      <c r="AJ30" s="1"/>
      <c r="AK30" s="1"/>
      <c r="AL30" s="1"/>
      <c r="AM30" s="1"/>
      <c r="AN30" s="1"/>
      <c r="AO30" s="42">
        <v>29</v>
      </c>
      <c r="AP30" s="60">
        <v>30</v>
      </c>
    </row>
    <row r="31" spans="1:42" s="32" customFormat="1" ht="16.5" hidden="1" customHeight="1" x14ac:dyDescent="0.25">
      <c r="A31" s="102"/>
      <c r="B31" s="102"/>
      <c r="C31" s="1" t="s">
        <v>6</v>
      </c>
      <c r="D31" s="1" t="s">
        <v>19</v>
      </c>
      <c r="E31" s="1" t="s">
        <v>18</v>
      </c>
      <c r="F31" s="1">
        <v>2</v>
      </c>
      <c r="G31" s="1">
        <v>3</v>
      </c>
      <c r="H31" s="1">
        <v>4</v>
      </c>
      <c r="I31" s="1">
        <v>5</v>
      </c>
      <c r="J31" s="1">
        <v>6</v>
      </c>
      <c r="K31" s="33">
        <v>7</v>
      </c>
      <c r="L31" s="33" t="s">
        <v>7</v>
      </c>
      <c r="M31" s="1">
        <v>2</v>
      </c>
      <c r="N31" s="1">
        <v>3</v>
      </c>
      <c r="O31" s="1">
        <v>4</v>
      </c>
      <c r="P31" s="1">
        <v>5</v>
      </c>
      <c r="Q31" s="1">
        <v>6</v>
      </c>
      <c r="R31" s="33">
        <v>7</v>
      </c>
      <c r="S31" s="33" t="s">
        <v>7</v>
      </c>
      <c r="T31" s="1">
        <v>2</v>
      </c>
      <c r="U31" s="1">
        <v>3</v>
      </c>
      <c r="V31" s="1">
        <v>4</v>
      </c>
      <c r="W31" s="1">
        <v>5</v>
      </c>
      <c r="X31" s="1">
        <v>6</v>
      </c>
      <c r="Y31" s="33">
        <v>7</v>
      </c>
      <c r="Z31" s="33" t="s">
        <v>7</v>
      </c>
      <c r="AA31" s="1">
        <v>2</v>
      </c>
      <c r="AB31" s="1">
        <v>3</v>
      </c>
      <c r="AC31" s="1">
        <v>4</v>
      </c>
      <c r="AD31" s="1">
        <v>5</v>
      </c>
      <c r="AE31" s="1">
        <v>6</v>
      </c>
      <c r="AF31" s="33">
        <v>7</v>
      </c>
      <c r="AG31" s="33" t="s">
        <v>7</v>
      </c>
      <c r="AH31" s="1"/>
      <c r="AI31" s="1"/>
      <c r="AJ31" s="1"/>
      <c r="AK31" s="1"/>
      <c r="AL31" s="1"/>
      <c r="AM31" s="33"/>
      <c r="AN31" s="33"/>
      <c r="AO31" s="42">
        <v>3</v>
      </c>
      <c r="AP31" s="60">
        <v>4</v>
      </c>
    </row>
    <row r="32" spans="1:42" s="32" customFormat="1" ht="16.5" hidden="1" customHeight="1" x14ac:dyDescent="0.25">
      <c r="A32" s="99" t="s">
        <v>90</v>
      </c>
      <c r="B32" s="34" t="s">
        <v>26</v>
      </c>
      <c r="C32" s="35" t="s">
        <v>30</v>
      </c>
      <c r="D32" s="36" t="s">
        <v>85</v>
      </c>
      <c r="E32" s="2" t="s">
        <v>15</v>
      </c>
      <c r="F32" s="1">
        <v>4</v>
      </c>
      <c r="G32" s="1">
        <v>4</v>
      </c>
      <c r="H32" s="1"/>
      <c r="I32" s="1"/>
      <c r="J32" s="1"/>
      <c r="K32" s="34"/>
      <c r="L32" s="34"/>
      <c r="M32" s="34">
        <v>4</v>
      </c>
      <c r="N32" s="34"/>
      <c r="O32" s="34"/>
      <c r="P32" s="34"/>
      <c r="Q32" s="34"/>
      <c r="R32" s="34"/>
      <c r="S32" s="34"/>
      <c r="T32" s="34">
        <v>4</v>
      </c>
      <c r="U32" s="34">
        <v>4</v>
      </c>
      <c r="V32" s="34"/>
      <c r="W32" s="34"/>
      <c r="X32" s="34"/>
      <c r="Y32" s="34"/>
      <c r="Z32" s="34"/>
      <c r="AA32" s="34">
        <v>4</v>
      </c>
      <c r="AB32" s="34">
        <v>4</v>
      </c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42">
        <v>4</v>
      </c>
      <c r="AP32" s="60"/>
    </row>
    <row r="33" spans="1:42" s="32" customFormat="1" ht="16.5" hidden="1" customHeight="1" x14ac:dyDescent="0.25">
      <c r="A33" s="100"/>
      <c r="B33" s="38" t="s">
        <v>31</v>
      </c>
      <c r="C33" s="35" t="s">
        <v>32</v>
      </c>
      <c r="D33" s="36" t="s">
        <v>85</v>
      </c>
      <c r="E33" s="2" t="s">
        <v>15</v>
      </c>
      <c r="F33" s="1"/>
      <c r="G33" s="1"/>
      <c r="H33" s="1"/>
      <c r="I33" s="1"/>
      <c r="J33" s="1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42"/>
      <c r="AP33" s="60"/>
    </row>
    <row r="34" spans="1:42" s="32" customFormat="1" ht="16.5" hidden="1" customHeight="1" x14ac:dyDescent="0.25">
      <c r="A34" s="100"/>
      <c r="B34" s="38" t="s">
        <v>35</v>
      </c>
      <c r="C34" s="35" t="s">
        <v>36</v>
      </c>
      <c r="D34" s="36" t="s">
        <v>85</v>
      </c>
      <c r="E34" s="2" t="s">
        <v>15</v>
      </c>
      <c r="F34" s="1"/>
      <c r="G34" s="1"/>
      <c r="H34" s="1"/>
      <c r="I34" s="1"/>
      <c r="J34" s="1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42"/>
      <c r="AP34" s="60"/>
    </row>
    <row r="35" spans="1:42" s="32" customFormat="1" ht="16.5" hidden="1" customHeight="1" x14ac:dyDescent="0.25">
      <c r="A35" s="101"/>
      <c r="B35" s="34" t="s">
        <v>26</v>
      </c>
      <c r="C35" s="35" t="s">
        <v>27</v>
      </c>
      <c r="D35" s="36" t="s">
        <v>85</v>
      </c>
      <c r="E35" s="2" t="s">
        <v>37</v>
      </c>
      <c r="F35" s="1">
        <v>1</v>
      </c>
      <c r="G35" s="1"/>
      <c r="H35" s="1"/>
      <c r="I35" s="1"/>
      <c r="J35" s="1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42"/>
      <c r="AP35" s="60"/>
    </row>
    <row r="36" spans="1:42" s="32" customFormat="1" ht="16.5" hidden="1" customHeight="1" x14ac:dyDescent="0.25">
      <c r="A36" s="99" t="s">
        <v>89</v>
      </c>
      <c r="B36" s="34" t="s">
        <v>26</v>
      </c>
      <c r="C36" s="35" t="s">
        <v>30</v>
      </c>
      <c r="D36" s="36" t="s">
        <v>85</v>
      </c>
      <c r="E36" s="2" t="s">
        <v>15</v>
      </c>
      <c r="F36" s="1">
        <v>4</v>
      </c>
      <c r="G36" s="1">
        <v>4</v>
      </c>
      <c r="H36" s="1"/>
      <c r="I36" s="1"/>
      <c r="J36" s="1"/>
      <c r="K36" s="34"/>
      <c r="L36" s="34"/>
      <c r="M36" s="34">
        <v>4</v>
      </c>
      <c r="N36" s="34"/>
      <c r="O36" s="34"/>
      <c r="P36" s="34"/>
      <c r="Q36" s="34"/>
      <c r="R36" s="34"/>
      <c r="S36" s="34"/>
      <c r="T36" s="34">
        <v>4</v>
      </c>
      <c r="U36" s="34">
        <v>4</v>
      </c>
      <c r="V36" s="34"/>
      <c r="W36" s="34"/>
      <c r="X36" s="34"/>
      <c r="Y36" s="34"/>
      <c r="Z36" s="34"/>
      <c r="AA36" s="34">
        <v>4</v>
      </c>
      <c r="AB36" s="34">
        <v>4</v>
      </c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42">
        <v>4</v>
      </c>
      <c r="AP36" s="60"/>
    </row>
    <row r="37" spans="1:42" s="32" customFormat="1" ht="16.5" hidden="1" customHeight="1" x14ac:dyDescent="0.25">
      <c r="A37" s="100"/>
      <c r="B37" s="38" t="s">
        <v>31</v>
      </c>
      <c r="C37" s="35" t="s">
        <v>32</v>
      </c>
      <c r="D37" s="36" t="s">
        <v>85</v>
      </c>
      <c r="E37" s="2" t="s">
        <v>15</v>
      </c>
      <c r="F37" s="1"/>
      <c r="G37" s="1"/>
      <c r="H37" s="1"/>
      <c r="I37" s="1"/>
      <c r="J37" s="1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42"/>
      <c r="AP37" s="60"/>
    </row>
    <row r="38" spans="1:42" s="32" customFormat="1" ht="16.5" hidden="1" customHeight="1" x14ac:dyDescent="0.25">
      <c r="A38" s="100"/>
      <c r="B38" s="38" t="s">
        <v>33</v>
      </c>
      <c r="C38" s="35" t="s">
        <v>34</v>
      </c>
      <c r="D38" s="36" t="s">
        <v>92</v>
      </c>
      <c r="E38" s="2" t="s">
        <v>15</v>
      </c>
      <c r="F38" s="1"/>
      <c r="G38" s="1"/>
      <c r="H38" s="1"/>
      <c r="I38" s="1"/>
      <c r="J38" s="1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42"/>
      <c r="AP38" s="60"/>
    </row>
    <row r="39" spans="1:42" s="32" customFormat="1" ht="16.5" hidden="1" customHeight="1" x14ac:dyDescent="0.25">
      <c r="A39" s="101"/>
      <c r="B39" s="34" t="s">
        <v>26</v>
      </c>
      <c r="C39" s="35" t="s">
        <v>27</v>
      </c>
      <c r="D39" s="36" t="s">
        <v>85</v>
      </c>
      <c r="E39" s="2" t="s">
        <v>37</v>
      </c>
      <c r="F39" s="1">
        <v>1</v>
      </c>
      <c r="G39" s="1"/>
      <c r="H39" s="1"/>
      <c r="I39" s="1"/>
      <c r="J39" s="1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42"/>
      <c r="AP39" s="60"/>
    </row>
    <row r="40" spans="1:42" s="32" customFormat="1" ht="16.5" hidden="1" customHeight="1" x14ac:dyDescent="0.25">
      <c r="A40" s="31"/>
      <c r="B40" s="31"/>
      <c r="C40" s="1"/>
      <c r="D40" s="1"/>
      <c r="E40" s="1"/>
      <c r="F40" s="1"/>
      <c r="G40" s="1"/>
      <c r="H40" s="1"/>
      <c r="I40" s="1"/>
      <c r="J40" s="1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42"/>
      <c r="AP40" s="60"/>
    </row>
    <row r="41" spans="1:42" s="32" customFormat="1" ht="16.5" hidden="1" customHeight="1" x14ac:dyDescent="0.25">
      <c r="A41" s="31"/>
      <c r="B41" s="31"/>
      <c r="C41" s="1"/>
      <c r="D41" s="1"/>
      <c r="E41" s="1"/>
      <c r="F41" s="1"/>
      <c r="G41" s="1"/>
      <c r="H41" s="1"/>
      <c r="I41" s="1"/>
      <c r="J41" s="1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42"/>
      <c r="AP41" s="60"/>
    </row>
    <row r="42" spans="1:42" s="32" customFormat="1" ht="16.5" hidden="1" customHeight="1" x14ac:dyDescent="0.25">
      <c r="A42" s="31"/>
      <c r="B42" s="31"/>
      <c r="C42" s="1"/>
      <c r="D42" s="1"/>
      <c r="E42" s="1"/>
      <c r="F42" s="1"/>
      <c r="G42" s="1"/>
      <c r="H42" s="1"/>
      <c r="I42" s="1"/>
      <c r="J42" s="1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42"/>
      <c r="AP42" s="60"/>
    </row>
    <row r="43" spans="1:42" s="32" customFormat="1" ht="16.5" hidden="1" customHeight="1" x14ac:dyDescent="0.25">
      <c r="A43" s="31"/>
      <c r="B43" s="31"/>
      <c r="C43" s="1"/>
      <c r="D43" s="1"/>
      <c r="E43" s="1"/>
      <c r="F43" s="1"/>
      <c r="G43" s="1"/>
      <c r="H43" s="1"/>
      <c r="I43" s="1"/>
      <c r="J43" s="1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42"/>
      <c r="AP43" s="60"/>
    </row>
    <row r="44" spans="1:42" s="32" customFormat="1" ht="16.5" hidden="1" customHeight="1" x14ac:dyDescent="0.25">
      <c r="A44" s="31"/>
      <c r="B44" s="31"/>
      <c r="C44" s="1"/>
      <c r="D44" s="1"/>
      <c r="E44" s="1"/>
      <c r="F44" s="1"/>
      <c r="G44" s="1"/>
      <c r="H44" s="1"/>
      <c r="I44" s="1"/>
      <c r="J44" s="1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42"/>
      <c r="AP44" s="60"/>
    </row>
    <row r="45" spans="1:42" s="32" customFormat="1" ht="16.5" hidden="1" customHeight="1" x14ac:dyDescent="0.25">
      <c r="A45" s="31"/>
      <c r="B45" s="31"/>
      <c r="C45" s="1"/>
      <c r="D45" s="1"/>
      <c r="E45" s="1"/>
      <c r="F45" s="1"/>
      <c r="G45" s="1"/>
      <c r="H45" s="1"/>
      <c r="I45" s="1"/>
      <c r="J45" s="1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42"/>
      <c r="AP45" s="60"/>
    </row>
    <row r="46" spans="1:42" s="32" customFormat="1" ht="16.5" hidden="1" customHeight="1" x14ac:dyDescent="0.25">
      <c r="A46" s="31"/>
      <c r="B46" s="31"/>
      <c r="C46" s="1"/>
      <c r="D46" s="1"/>
      <c r="E46" s="1"/>
      <c r="F46" s="1"/>
      <c r="G46" s="1"/>
      <c r="H46" s="1"/>
      <c r="I46" s="1"/>
      <c r="J46" s="1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42"/>
      <c r="AP46" s="60"/>
    </row>
    <row r="47" spans="1:42" s="32" customFormat="1" ht="16.5" hidden="1" customHeight="1" x14ac:dyDescent="0.25">
      <c r="A47" s="31"/>
      <c r="B47" s="31"/>
      <c r="C47" s="1"/>
      <c r="D47" s="1"/>
      <c r="E47" s="1"/>
      <c r="F47" s="1"/>
      <c r="G47" s="1"/>
      <c r="H47" s="1"/>
      <c r="I47" s="1"/>
      <c r="J47" s="1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42"/>
      <c r="AP47" s="60"/>
    </row>
    <row r="48" spans="1:42" s="32" customFormat="1" ht="16.5" hidden="1" customHeight="1" x14ac:dyDescent="0.25">
      <c r="A48" s="31"/>
      <c r="B48" s="31"/>
      <c r="C48" s="1"/>
      <c r="D48" s="1"/>
      <c r="E48" s="1"/>
      <c r="F48" s="1"/>
      <c r="G48" s="1"/>
      <c r="H48" s="1"/>
      <c r="I48" s="1"/>
      <c r="J48" s="1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42"/>
      <c r="AP48" s="60"/>
    </row>
    <row r="49" spans="1:42" s="32" customFormat="1" ht="16.5" hidden="1" customHeight="1" x14ac:dyDescent="0.25">
      <c r="A49" s="31"/>
      <c r="B49" s="31"/>
      <c r="C49" s="1"/>
      <c r="D49" s="1"/>
      <c r="E49" s="1"/>
      <c r="F49" s="1"/>
      <c r="G49" s="1"/>
      <c r="H49" s="1"/>
      <c r="I49" s="1"/>
      <c r="J49" s="1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42"/>
      <c r="AP49" s="60"/>
    </row>
    <row r="50" spans="1:42" s="32" customFormat="1" ht="16.5" hidden="1" customHeight="1" x14ac:dyDescent="0.25">
      <c r="A50" s="31"/>
      <c r="B50" s="31"/>
      <c r="C50" s="1"/>
      <c r="D50" s="1"/>
      <c r="E50" s="1"/>
      <c r="F50" s="1"/>
      <c r="G50" s="1"/>
      <c r="H50" s="1"/>
      <c r="I50" s="1"/>
      <c r="J50" s="1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42"/>
      <c r="AP50" s="60"/>
    </row>
    <row r="51" spans="1:42" s="32" customFormat="1" ht="16.5" hidden="1" customHeight="1" x14ac:dyDescent="0.25">
      <c r="A51" s="31"/>
      <c r="B51" s="31"/>
      <c r="C51" s="1"/>
      <c r="D51" s="1"/>
      <c r="E51" s="1"/>
      <c r="F51" s="1"/>
      <c r="G51" s="1"/>
      <c r="H51" s="1"/>
      <c r="I51" s="1"/>
      <c r="J51" s="1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42"/>
      <c r="AP51" s="60"/>
    </row>
    <row r="52" spans="1:42" s="32" customFormat="1" ht="16.5" hidden="1" customHeight="1" x14ac:dyDescent="0.25">
      <c r="A52" s="31"/>
      <c r="B52" s="31"/>
      <c r="C52" s="1"/>
      <c r="D52" s="1"/>
      <c r="E52" s="1"/>
      <c r="F52" s="1"/>
      <c r="G52" s="1"/>
      <c r="H52" s="1"/>
      <c r="I52" s="1"/>
      <c r="J52" s="1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42"/>
      <c r="AP52" s="60"/>
    </row>
    <row r="53" spans="1:42" s="32" customFormat="1" ht="16.5" hidden="1" customHeight="1" x14ac:dyDescent="0.25">
      <c r="A53" s="40"/>
      <c r="B53" s="38"/>
      <c r="C53" s="40"/>
      <c r="D53" s="36"/>
      <c r="E53" s="2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2"/>
      <c r="AP53" s="56"/>
    </row>
    <row r="54" spans="1:42" s="32" customFormat="1" ht="16.5" hidden="1" customHeight="1" x14ac:dyDescent="0.25">
      <c r="A54" s="40"/>
      <c r="B54" s="38"/>
      <c r="C54" s="35"/>
      <c r="D54" s="36"/>
      <c r="E54" s="2"/>
      <c r="F54" s="34"/>
      <c r="G54" s="34"/>
      <c r="H54" s="34"/>
      <c r="I54" s="34"/>
      <c r="J54" s="34"/>
      <c r="K54" s="34"/>
      <c r="L54" s="34"/>
      <c r="M54" s="34" t="s">
        <v>9</v>
      </c>
      <c r="N54" s="34"/>
      <c r="O54" s="34"/>
      <c r="P54" s="34"/>
      <c r="Q54" s="34"/>
      <c r="R54" s="34"/>
      <c r="S54" s="34"/>
      <c r="T54" s="34" t="s">
        <v>9</v>
      </c>
      <c r="U54" s="34"/>
      <c r="V54" s="34"/>
      <c r="W54" s="34"/>
      <c r="X54" s="34"/>
      <c r="Y54" s="34"/>
      <c r="Z54" s="34"/>
      <c r="AA54" s="34" t="s">
        <v>9</v>
      </c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2"/>
      <c r="AP54" s="56" t="s">
        <v>9</v>
      </c>
    </row>
    <row r="55" spans="1:42" hidden="1" x14ac:dyDescent="0.3"/>
    <row r="56" spans="1:42" hidden="1" x14ac:dyDescent="0.3">
      <c r="AB56" s="39" t="s">
        <v>21</v>
      </c>
    </row>
    <row r="57" spans="1:42" s="29" customFormat="1" ht="18" hidden="1" customHeight="1" x14ac:dyDescent="0.3">
      <c r="B57" s="110" t="s">
        <v>12</v>
      </c>
      <c r="C57" s="110"/>
      <c r="D57" s="5"/>
      <c r="E57" s="5"/>
      <c r="I57" s="97" t="s">
        <v>13</v>
      </c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AC57" s="5" t="s">
        <v>14</v>
      </c>
      <c r="AO57" s="4"/>
      <c r="AP57" s="55"/>
    </row>
    <row r="58" spans="1:42" hidden="1" x14ac:dyDescent="0.3">
      <c r="AB58" s="29"/>
    </row>
    <row r="59" spans="1:42" hidden="1" x14ac:dyDescent="0.3"/>
    <row r="60" spans="1:42" hidden="1" x14ac:dyDescent="0.3"/>
    <row r="61" spans="1:42" hidden="1" x14ac:dyDescent="0.3"/>
    <row r="62" spans="1:42" hidden="1" x14ac:dyDescent="0.3"/>
    <row r="63" spans="1:42" hidden="1" x14ac:dyDescent="0.3">
      <c r="K63" s="97" t="s">
        <v>23</v>
      </c>
      <c r="L63" s="97"/>
      <c r="M63" s="97"/>
      <c r="N63" s="97"/>
      <c r="O63" s="97"/>
      <c r="P63" s="97"/>
      <c r="Q63" s="97"/>
      <c r="R63" s="97"/>
      <c r="AA63" s="29" t="s">
        <v>22</v>
      </c>
    </row>
  </sheetData>
  <mergeCells count="47">
    <mergeCell ref="A5:AP5"/>
    <mergeCell ref="A1:D1"/>
    <mergeCell ref="L1:AF1"/>
    <mergeCell ref="A2:D2"/>
    <mergeCell ref="L2:AF2"/>
    <mergeCell ref="A4:AP4"/>
    <mergeCell ref="AO12:AO13"/>
    <mergeCell ref="AP12:AP13"/>
    <mergeCell ref="A10:A13"/>
    <mergeCell ref="D10:D13"/>
    <mergeCell ref="AA7:AG7"/>
    <mergeCell ref="AH7:AN7"/>
    <mergeCell ref="AO7:AO9"/>
    <mergeCell ref="AP7:AP9"/>
    <mergeCell ref="C8:E8"/>
    <mergeCell ref="A7:A9"/>
    <mergeCell ref="B7:B9"/>
    <mergeCell ref="C7:E7"/>
    <mergeCell ref="F7:L7"/>
    <mergeCell ref="M7:S7"/>
    <mergeCell ref="T7:Z7"/>
    <mergeCell ref="A32:A35"/>
    <mergeCell ref="A36:A39"/>
    <mergeCell ref="B57:C57"/>
    <mergeCell ref="I57:T57"/>
    <mergeCell ref="A29:A31"/>
    <mergeCell ref="B29:B31"/>
    <mergeCell ref="C29:E29"/>
    <mergeCell ref="F29:L29"/>
    <mergeCell ref="M29:S29"/>
    <mergeCell ref="T29:Z29"/>
    <mergeCell ref="K63:R63"/>
    <mergeCell ref="B10:B11"/>
    <mergeCell ref="C10:C11"/>
    <mergeCell ref="AO10:AO11"/>
    <mergeCell ref="AP10:AP11"/>
    <mergeCell ref="AA29:AG29"/>
    <mergeCell ref="AO29:AP29"/>
    <mergeCell ref="C30:E30"/>
    <mergeCell ref="B15:C15"/>
    <mergeCell ref="A23:D23"/>
    <mergeCell ref="A24:D24"/>
    <mergeCell ref="L24:AG24"/>
    <mergeCell ref="A26:AP26"/>
    <mergeCell ref="A27:AP27"/>
    <mergeCell ref="B12:B13"/>
    <mergeCell ref="C12:C13"/>
  </mergeCells>
  <pageMargins left="0.2" right="0.1" top="0.511811023622047" bottom="0.511811023622047" header="0.31496062992126" footer="0.31496062992126"/>
  <pageSetup paperSize="9" scale="86" orientation="landscape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EC14-3F2B-4D22-84EC-E83BCDF654A7}">
  <dimension ref="A1:AQ104"/>
  <sheetViews>
    <sheetView topLeftCell="A34" zoomScale="118" zoomScaleNormal="118" workbookViewId="0">
      <selection activeCell="V49" sqref="V49:AL50"/>
    </sheetView>
  </sheetViews>
  <sheetFormatPr defaultRowHeight="18.75" x14ac:dyDescent="0.3"/>
  <cols>
    <col min="1" max="1" width="10.6640625" style="30" customWidth="1"/>
    <col min="2" max="2" width="15.21875" style="30" customWidth="1"/>
    <col min="3" max="3" width="15" style="30" customWidth="1"/>
    <col min="4" max="4" width="7.44140625" style="4" customWidth="1"/>
    <col min="5" max="5" width="5.6640625" style="4" customWidth="1"/>
    <col min="6" max="40" width="2" style="30" customWidth="1"/>
    <col min="41" max="41" width="3.33203125" style="4" customWidth="1"/>
    <col min="42" max="42" width="5.21875" style="55" customWidth="1"/>
    <col min="43" max="16384" width="8.88671875" style="30"/>
  </cols>
  <sheetData>
    <row r="1" spans="1:42" s="27" customFormat="1" ht="18" customHeight="1" x14ac:dyDescent="0.25">
      <c r="A1" s="98" t="s">
        <v>96</v>
      </c>
      <c r="B1" s="98"/>
      <c r="C1" s="98"/>
      <c r="D1" s="98"/>
      <c r="E1" s="3"/>
      <c r="L1" s="121" t="s">
        <v>1</v>
      </c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28"/>
      <c r="AH1" s="28"/>
      <c r="AI1" s="28"/>
      <c r="AJ1" s="28"/>
      <c r="AK1" s="28"/>
      <c r="AL1" s="28"/>
      <c r="AM1" s="28"/>
      <c r="AN1" s="28"/>
      <c r="AO1" s="43"/>
      <c r="AP1" s="55"/>
    </row>
    <row r="2" spans="1:42" s="27" customFormat="1" ht="16.5" customHeight="1" x14ac:dyDescent="0.3">
      <c r="A2" s="97" t="s">
        <v>106</v>
      </c>
      <c r="B2" s="97"/>
      <c r="C2" s="97"/>
      <c r="D2" s="97"/>
      <c r="E2" s="3"/>
      <c r="L2" s="97" t="s">
        <v>3</v>
      </c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29"/>
      <c r="AH2" s="29"/>
      <c r="AI2" s="29"/>
      <c r="AJ2" s="29"/>
      <c r="AK2" s="29"/>
      <c r="AL2" s="29"/>
      <c r="AM2" s="29"/>
      <c r="AN2" s="29"/>
      <c r="AO2" s="43"/>
      <c r="AP2" s="55"/>
    </row>
    <row r="3" spans="1:42" ht="12" customHeight="1" x14ac:dyDescent="0.3"/>
    <row r="4" spans="1:42" ht="18.75" customHeight="1" x14ac:dyDescent="0.3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</row>
    <row r="5" spans="1:42" ht="16.5" customHeight="1" x14ac:dyDescent="0.3">
      <c r="A5" s="97" t="s">
        <v>143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</row>
    <row r="6" spans="1:42" ht="1.5" customHeight="1" x14ac:dyDescent="0.3"/>
    <row r="7" spans="1:42" s="32" customFormat="1" ht="16.5" customHeight="1" x14ac:dyDescent="0.25">
      <c r="A7" s="102" t="s">
        <v>4</v>
      </c>
      <c r="B7" s="102" t="s">
        <v>6</v>
      </c>
      <c r="C7" s="106" t="s">
        <v>11</v>
      </c>
      <c r="D7" s="106"/>
      <c r="E7" s="106"/>
      <c r="F7" s="106">
        <v>1</v>
      </c>
      <c r="G7" s="106"/>
      <c r="H7" s="106"/>
      <c r="I7" s="106"/>
      <c r="J7" s="106"/>
      <c r="K7" s="106"/>
      <c r="L7" s="106"/>
      <c r="M7" s="106">
        <v>2</v>
      </c>
      <c r="N7" s="106"/>
      <c r="O7" s="106"/>
      <c r="P7" s="106"/>
      <c r="Q7" s="106"/>
      <c r="R7" s="106"/>
      <c r="S7" s="106"/>
      <c r="T7" s="106">
        <v>3</v>
      </c>
      <c r="U7" s="106"/>
      <c r="V7" s="106"/>
      <c r="W7" s="106"/>
      <c r="X7" s="106"/>
      <c r="Y7" s="106"/>
      <c r="Z7" s="106"/>
      <c r="AA7" s="106">
        <v>4</v>
      </c>
      <c r="AB7" s="106"/>
      <c r="AC7" s="106"/>
      <c r="AD7" s="106"/>
      <c r="AE7" s="106"/>
      <c r="AF7" s="106"/>
      <c r="AG7" s="106"/>
      <c r="AH7" s="106">
        <v>5</v>
      </c>
      <c r="AI7" s="106"/>
      <c r="AJ7" s="106"/>
      <c r="AK7" s="106"/>
      <c r="AL7" s="106"/>
      <c r="AM7" s="106"/>
      <c r="AN7" s="106"/>
      <c r="AO7" s="119" t="s">
        <v>8</v>
      </c>
      <c r="AP7" s="120" t="s">
        <v>41</v>
      </c>
    </row>
    <row r="8" spans="1:42" s="32" customFormat="1" ht="16.5" customHeight="1" x14ac:dyDescent="0.25">
      <c r="A8" s="102"/>
      <c r="B8" s="102"/>
      <c r="C8" s="106" t="s">
        <v>10</v>
      </c>
      <c r="D8" s="106"/>
      <c r="E8" s="106"/>
      <c r="F8" s="1">
        <v>31</v>
      </c>
      <c r="G8" s="1">
        <v>1</v>
      </c>
      <c r="H8" s="1">
        <v>2</v>
      </c>
      <c r="I8" s="1">
        <v>3</v>
      </c>
      <c r="J8" s="1">
        <v>4</v>
      </c>
      <c r="K8" s="33">
        <v>5</v>
      </c>
      <c r="L8" s="33">
        <v>6</v>
      </c>
      <c r="M8" s="1">
        <v>7</v>
      </c>
      <c r="N8" s="1">
        <v>8</v>
      </c>
      <c r="O8" s="1">
        <v>9</v>
      </c>
      <c r="P8" s="1">
        <v>10</v>
      </c>
      <c r="Q8" s="1">
        <v>11</v>
      </c>
      <c r="R8" s="33">
        <v>12</v>
      </c>
      <c r="S8" s="33">
        <v>13</v>
      </c>
      <c r="T8" s="1">
        <v>14</v>
      </c>
      <c r="U8" s="1">
        <v>15</v>
      </c>
      <c r="V8" s="1">
        <v>16</v>
      </c>
      <c r="W8" s="1">
        <v>17</v>
      </c>
      <c r="X8" s="1">
        <v>18</v>
      </c>
      <c r="Y8" s="33">
        <v>19</v>
      </c>
      <c r="Z8" s="33">
        <v>20</v>
      </c>
      <c r="AA8" s="1">
        <v>21</v>
      </c>
      <c r="AB8" s="1">
        <v>22</v>
      </c>
      <c r="AC8" s="1">
        <v>23</v>
      </c>
      <c r="AD8" s="1">
        <v>24</v>
      </c>
      <c r="AE8" s="1">
        <v>25</v>
      </c>
      <c r="AF8" s="33">
        <v>26</v>
      </c>
      <c r="AG8" s="33">
        <v>27</v>
      </c>
      <c r="AH8" s="1">
        <v>28</v>
      </c>
      <c r="AI8" s="1">
        <v>29</v>
      </c>
      <c r="AJ8" s="1">
        <v>30</v>
      </c>
      <c r="AK8" s="1">
        <v>1</v>
      </c>
      <c r="AL8" s="1">
        <v>2</v>
      </c>
      <c r="AM8" s="33">
        <v>3</v>
      </c>
      <c r="AN8" s="33">
        <v>4</v>
      </c>
      <c r="AO8" s="119"/>
      <c r="AP8" s="120"/>
    </row>
    <row r="9" spans="1:42" s="32" customFormat="1" ht="16.5" customHeight="1" x14ac:dyDescent="0.25">
      <c r="A9" s="102"/>
      <c r="B9" s="102"/>
      <c r="C9" s="1" t="s">
        <v>5</v>
      </c>
      <c r="D9" s="1" t="s">
        <v>19</v>
      </c>
      <c r="E9" s="1" t="s">
        <v>18</v>
      </c>
      <c r="F9" s="1">
        <v>2</v>
      </c>
      <c r="G9" s="1">
        <v>3</v>
      </c>
      <c r="H9" s="1">
        <v>4</v>
      </c>
      <c r="I9" s="1">
        <v>5</v>
      </c>
      <c r="J9" s="1">
        <v>6</v>
      </c>
      <c r="K9" s="33">
        <v>7</v>
      </c>
      <c r="L9" s="33" t="s">
        <v>7</v>
      </c>
      <c r="M9" s="1">
        <v>2</v>
      </c>
      <c r="N9" s="1">
        <v>3</v>
      </c>
      <c r="O9" s="1">
        <v>4</v>
      </c>
      <c r="P9" s="1">
        <v>5</v>
      </c>
      <c r="Q9" s="1">
        <v>6</v>
      </c>
      <c r="R9" s="33">
        <v>7</v>
      </c>
      <c r="S9" s="33" t="s">
        <v>7</v>
      </c>
      <c r="T9" s="1">
        <v>2</v>
      </c>
      <c r="U9" s="1">
        <v>3</v>
      </c>
      <c r="V9" s="1">
        <v>4</v>
      </c>
      <c r="W9" s="1">
        <v>5</v>
      </c>
      <c r="X9" s="1">
        <v>6</v>
      </c>
      <c r="Y9" s="33">
        <v>7</v>
      </c>
      <c r="Z9" s="33" t="s">
        <v>7</v>
      </c>
      <c r="AA9" s="1">
        <v>2</v>
      </c>
      <c r="AB9" s="1">
        <v>3</v>
      </c>
      <c r="AC9" s="1">
        <v>4</v>
      </c>
      <c r="AD9" s="1">
        <v>5</v>
      </c>
      <c r="AE9" s="1">
        <v>6</v>
      </c>
      <c r="AF9" s="33">
        <v>7</v>
      </c>
      <c r="AG9" s="33" t="s">
        <v>7</v>
      </c>
      <c r="AH9" s="1">
        <v>2</v>
      </c>
      <c r="AI9" s="1">
        <v>3</v>
      </c>
      <c r="AJ9" s="1">
        <v>4</v>
      </c>
      <c r="AK9" s="1">
        <v>5</v>
      </c>
      <c r="AL9" s="1">
        <v>6</v>
      </c>
      <c r="AM9" s="33">
        <v>7</v>
      </c>
      <c r="AN9" s="33" t="s">
        <v>7</v>
      </c>
      <c r="AO9" s="119"/>
      <c r="AP9" s="120"/>
    </row>
    <row r="10" spans="1:42" s="32" customFormat="1" ht="25.5" customHeight="1" x14ac:dyDescent="0.25">
      <c r="A10" s="99" t="s">
        <v>118</v>
      </c>
      <c r="B10" s="38" t="s">
        <v>125</v>
      </c>
      <c r="C10" s="38" t="s">
        <v>31</v>
      </c>
      <c r="D10" s="36" t="s">
        <v>107</v>
      </c>
      <c r="E10" s="2" t="s">
        <v>16</v>
      </c>
      <c r="F10" s="2"/>
      <c r="G10" s="2"/>
      <c r="H10" s="42"/>
      <c r="I10" s="42">
        <v>4</v>
      </c>
      <c r="J10" s="42"/>
      <c r="K10" s="33"/>
      <c r="L10" s="33"/>
      <c r="M10" s="2">
        <v>4</v>
      </c>
      <c r="N10" s="2"/>
      <c r="O10" s="42"/>
      <c r="P10" s="1"/>
      <c r="Q10" s="1"/>
      <c r="R10" s="33"/>
      <c r="S10" s="33"/>
      <c r="T10" s="2">
        <v>4</v>
      </c>
      <c r="U10" s="2"/>
      <c r="V10" s="42"/>
      <c r="W10" s="1"/>
      <c r="X10" s="1"/>
      <c r="Y10" s="33"/>
      <c r="Z10" s="33"/>
      <c r="AA10" s="2">
        <v>4</v>
      </c>
      <c r="AB10" s="2"/>
      <c r="AC10" s="42"/>
      <c r="AD10" s="1"/>
      <c r="AE10" s="1"/>
      <c r="AF10" s="33"/>
      <c r="AG10" s="33"/>
      <c r="AH10" s="2">
        <v>4</v>
      </c>
      <c r="AI10" s="2"/>
      <c r="AJ10" s="42"/>
      <c r="AK10" s="1"/>
      <c r="AL10" s="1"/>
      <c r="AM10" s="33"/>
      <c r="AN10" s="33"/>
      <c r="AO10" s="45">
        <f>SUM(F10:AL10)</f>
        <v>20</v>
      </c>
      <c r="AP10" s="56" t="s">
        <v>145</v>
      </c>
    </row>
    <row r="11" spans="1:42" s="32" customFormat="1" ht="25.5" customHeight="1" x14ac:dyDescent="0.25">
      <c r="A11" s="100"/>
      <c r="B11" s="38" t="s">
        <v>126</v>
      </c>
      <c r="C11" s="38" t="s">
        <v>31</v>
      </c>
      <c r="D11" s="36" t="s">
        <v>107</v>
      </c>
      <c r="E11" s="2" t="s">
        <v>16</v>
      </c>
      <c r="F11" s="2"/>
      <c r="G11" s="2"/>
      <c r="H11" s="42"/>
      <c r="I11" s="42"/>
      <c r="J11" s="42">
        <v>4</v>
      </c>
      <c r="K11" s="33"/>
      <c r="L11" s="33"/>
      <c r="M11" s="2"/>
      <c r="N11" s="2">
        <v>4</v>
      </c>
      <c r="O11" s="42"/>
      <c r="P11" s="1"/>
      <c r="Q11" s="1"/>
      <c r="R11" s="33"/>
      <c r="S11" s="33"/>
      <c r="T11" s="2"/>
      <c r="U11" s="2">
        <v>4</v>
      </c>
      <c r="V11" s="42"/>
      <c r="W11" s="1"/>
      <c r="X11" s="1"/>
      <c r="Y11" s="33"/>
      <c r="Z11" s="33"/>
      <c r="AA11" s="2"/>
      <c r="AB11" s="2">
        <v>4</v>
      </c>
      <c r="AC11" s="42"/>
      <c r="AD11" s="1"/>
      <c r="AE11" s="1"/>
      <c r="AF11" s="33"/>
      <c r="AG11" s="33"/>
      <c r="AH11" s="2"/>
      <c r="AI11" s="2">
        <v>4</v>
      </c>
      <c r="AJ11" s="42"/>
      <c r="AK11" s="1"/>
      <c r="AL11" s="1"/>
      <c r="AM11" s="33"/>
      <c r="AN11" s="33"/>
      <c r="AO11" s="45">
        <f t="shared" ref="AO11:AO45" si="0">SUM(F11:AL11)</f>
        <v>20</v>
      </c>
      <c r="AP11" s="56" t="s">
        <v>145</v>
      </c>
    </row>
    <row r="12" spans="1:42" s="32" customFormat="1" ht="25.5" customHeight="1" x14ac:dyDescent="0.25">
      <c r="A12" s="100"/>
      <c r="B12" s="38" t="s">
        <v>127</v>
      </c>
      <c r="C12" s="38" t="s">
        <v>128</v>
      </c>
      <c r="D12" s="36">
        <v>2.2999999999999998</v>
      </c>
      <c r="E12" s="2" t="s">
        <v>16</v>
      </c>
      <c r="F12" s="2"/>
      <c r="G12" s="2"/>
      <c r="H12" s="44"/>
      <c r="I12" s="31"/>
      <c r="J12" s="31"/>
      <c r="K12" s="54"/>
      <c r="L12" s="54"/>
      <c r="M12" s="2"/>
      <c r="N12" s="2"/>
      <c r="O12" s="44"/>
      <c r="P12" s="31">
        <v>5</v>
      </c>
      <c r="Q12" s="31"/>
      <c r="R12" s="54"/>
      <c r="S12" s="54"/>
      <c r="T12" s="2"/>
      <c r="U12" s="2"/>
      <c r="V12" s="44"/>
      <c r="W12" s="31">
        <v>5</v>
      </c>
      <c r="X12" s="1"/>
      <c r="Y12" s="33"/>
      <c r="Z12" s="33"/>
      <c r="AA12" s="2"/>
      <c r="AB12" s="2"/>
      <c r="AC12" s="42"/>
      <c r="AD12" s="31">
        <v>5</v>
      </c>
      <c r="AE12" s="1"/>
      <c r="AF12" s="33"/>
      <c r="AG12" s="33"/>
      <c r="AH12" s="2"/>
      <c r="AI12" s="2"/>
      <c r="AJ12" s="42"/>
      <c r="AK12" s="1"/>
      <c r="AL12" s="1"/>
      <c r="AM12" s="33"/>
      <c r="AN12" s="33"/>
      <c r="AO12" s="45">
        <f t="shared" si="0"/>
        <v>15</v>
      </c>
      <c r="AP12" s="56" t="s">
        <v>144</v>
      </c>
    </row>
    <row r="13" spans="1:42" s="32" customFormat="1" ht="25.5" customHeight="1" x14ac:dyDescent="0.25">
      <c r="A13" s="100"/>
      <c r="B13" s="38" t="s">
        <v>93</v>
      </c>
      <c r="C13" s="38" t="s">
        <v>103</v>
      </c>
      <c r="D13" s="36">
        <v>2.4</v>
      </c>
      <c r="E13" s="2" t="s">
        <v>16</v>
      </c>
      <c r="F13" s="2"/>
      <c r="G13" s="2"/>
      <c r="H13" s="2"/>
      <c r="I13" s="1"/>
      <c r="J13" s="1"/>
      <c r="K13" s="33"/>
      <c r="L13" s="33"/>
      <c r="M13" s="2"/>
      <c r="N13" s="2"/>
      <c r="O13" s="2">
        <v>4</v>
      </c>
      <c r="P13" s="1"/>
      <c r="Q13" s="1"/>
      <c r="R13" s="33"/>
      <c r="S13" s="33"/>
      <c r="T13" s="2"/>
      <c r="U13" s="2"/>
      <c r="V13" s="2">
        <v>4</v>
      </c>
      <c r="W13" s="1"/>
      <c r="X13" s="1"/>
      <c r="Y13" s="33"/>
      <c r="Z13" s="33"/>
      <c r="AA13" s="2"/>
      <c r="AB13" s="2"/>
      <c r="AC13" s="2">
        <v>4</v>
      </c>
      <c r="AD13" s="1"/>
      <c r="AE13" s="1"/>
      <c r="AF13" s="33"/>
      <c r="AG13" s="33"/>
      <c r="AH13" s="2"/>
      <c r="AI13" s="2"/>
      <c r="AJ13" s="2">
        <v>4</v>
      </c>
      <c r="AK13" s="1"/>
      <c r="AL13" s="1"/>
      <c r="AM13" s="33"/>
      <c r="AN13" s="33"/>
      <c r="AO13" s="45">
        <f t="shared" si="0"/>
        <v>16</v>
      </c>
      <c r="AP13" s="57" t="s">
        <v>154</v>
      </c>
    </row>
    <row r="14" spans="1:42" s="32" customFormat="1" ht="26.25" customHeight="1" x14ac:dyDescent="0.25">
      <c r="A14" s="100"/>
      <c r="B14" s="40" t="s">
        <v>129</v>
      </c>
      <c r="C14" s="38" t="s">
        <v>31</v>
      </c>
      <c r="D14" s="36" t="s">
        <v>107</v>
      </c>
      <c r="E14" s="2" t="s">
        <v>15</v>
      </c>
      <c r="F14" s="2"/>
      <c r="G14" s="2"/>
      <c r="H14" s="2"/>
      <c r="I14" s="1"/>
      <c r="J14" s="1"/>
      <c r="K14" s="33"/>
      <c r="L14" s="33"/>
      <c r="M14" s="2"/>
      <c r="N14" s="2">
        <v>4</v>
      </c>
      <c r="O14" s="2"/>
      <c r="P14" s="1"/>
      <c r="Q14" s="1"/>
      <c r="R14" s="33"/>
      <c r="S14" s="33"/>
      <c r="T14" s="2"/>
      <c r="U14" s="2">
        <v>4</v>
      </c>
      <c r="V14" s="2"/>
      <c r="W14" s="1"/>
      <c r="X14" s="1"/>
      <c r="Y14" s="33"/>
      <c r="Z14" s="33"/>
      <c r="AA14" s="2"/>
      <c r="AB14" s="2">
        <v>4</v>
      </c>
      <c r="AC14" s="2"/>
      <c r="AD14" s="1"/>
      <c r="AE14" s="1"/>
      <c r="AF14" s="33"/>
      <c r="AG14" s="33"/>
      <c r="AH14" s="2"/>
      <c r="AI14" s="2">
        <v>4</v>
      </c>
      <c r="AJ14" s="2"/>
      <c r="AK14" s="1"/>
      <c r="AL14" s="1"/>
      <c r="AM14" s="33"/>
      <c r="AN14" s="33"/>
      <c r="AO14" s="45">
        <f t="shared" si="0"/>
        <v>16</v>
      </c>
      <c r="AP14" s="56" t="s">
        <v>146</v>
      </c>
    </row>
    <row r="15" spans="1:42" s="32" customFormat="1" ht="29.25" customHeight="1" x14ac:dyDescent="0.25">
      <c r="A15" s="101"/>
      <c r="B15" s="35" t="s">
        <v>27</v>
      </c>
      <c r="C15" s="38" t="s">
        <v>31</v>
      </c>
      <c r="D15" s="36" t="s">
        <v>107</v>
      </c>
      <c r="E15" s="2" t="s">
        <v>132</v>
      </c>
      <c r="F15" s="31"/>
      <c r="G15" s="1"/>
      <c r="H15" s="1"/>
      <c r="I15" s="1">
        <v>1</v>
      </c>
      <c r="J15" s="1"/>
      <c r="K15" s="33"/>
      <c r="L15" s="33"/>
      <c r="M15" s="1">
        <v>1</v>
      </c>
      <c r="N15" s="1"/>
      <c r="O15" s="1"/>
      <c r="P15" s="1"/>
      <c r="Q15" s="1"/>
      <c r="R15" s="33"/>
      <c r="S15" s="33"/>
      <c r="T15" s="1">
        <v>1</v>
      </c>
      <c r="U15" s="1"/>
      <c r="V15" s="1"/>
      <c r="W15" s="1"/>
      <c r="X15" s="1"/>
      <c r="Y15" s="33"/>
      <c r="Z15" s="33"/>
      <c r="AA15" s="1">
        <v>1</v>
      </c>
      <c r="AB15" s="1"/>
      <c r="AC15" s="1"/>
      <c r="AD15" s="1"/>
      <c r="AE15" s="1"/>
      <c r="AF15" s="33"/>
      <c r="AG15" s="33"/>
      <c r="AH15" s="1">
        <v>1</v>
      </c>
      <c r="AI15" s="1"/>
      <c r="AJ15" s="1"/>
      <c r="AK15" s="1"/>
      <c r="AL15" s="1"/>
      <c r="AM15" s="33"/>
      <c r="AN15" s="33"/>
      <c r="AO15" s="45">
        <f t="shared" si="0"/>
        <v>5</v>
      </c>
      <c r="AP15" s="56"/>
    </row>
    <row r="16" spans="1:42" s="32" customFormat="1" ht="48.75" customHeight="1" x14ac:dyDescent="0.25">
      <c r="A16" s="99" t="s">
        <v>91</v>
      </c>
      <c r="B16" s="40" t="s">
        <v>147</v>
      </c>
      <c r="C16" s="38" t="s">
        <v>31</v>
      </c>
      <c r="D16" s="36" t="s">
        <v>107</v>
      </c>
      <c r="E16" s="2" t="s">
        <v>15</v>
      </c>
      <c r="F16" s="2"/>
      <c r="G16" s="2"/>
      <c r="H16" s="2"/>
      <c r="I16" s="2"/>
      <c r="J16" s="2"/>
      <c r="K16" s="37"/>
      <c r="L16" s="37"/>
      <c r="M16" s="2">
        <v>4</v>
      </c>
      <c r="N16" s="2"/>
      <c r="O16" s="2"/>
      <c r="P16" s="2"/>
      <c r="Q16" s="2"/>
      <c r="R16" s="37"/>
      <c r="S16" s="37"/>
      <c r="T16" s="2">
        <v>4</v>
      </c>
      <c r="U16" s="2"/>
      <c r="V16" s="2"/>
      <c r="W16" s="2"/>
      <c r="X16" s="2"/>
      <c r="Y16" s="37"/>
      <c r="Z16" s="37"/>
      <c r="AA16" s="2">
        <v>4</v>
      </c>
      <c r="AB16" s="2"/>
      <c r="AC16" s="2"/>
      <c r="AD16" s="2"/>
      <c r="AE16" s="2"/>
      <c r="AF16" s="37"/>
      <c r="AG16" s="37"/>
      <c r="AH16" s="2">
        <v>4</v>
      </c>
      <c r="AI16" s="2"/>
      <c r="AJ16" s="2"/>
      <c r="AK16" s="2"/>
      <c r="AL16" s="2"/>
      <c r="AM16" s="37"/>
      <c r="AN16" s="37"/>
      <c r="AO16" s="45">
        <f t="shared" si="0"/>
        <v>16</v>
      </c>
      <c r="AP16" s="56" t="s">
        <v>150</v>
      </c>
    </row>
    <row r="17" spans="1:43" s="32" customFormat="1" ht="27.75" customHeight="1" x14ac:dyDescent="0.25">
      <c r="A17" s="100"/>
      <c r="B17" s="38" t="s">
        <v>148</v>
      </c>
      <c r="C17" s="38" t="s">
        <v>31</v>
      </c>
      <c r="D17" s="36" t="s">
        <v>107</v>
      </c>
      <c r="E17" s="2" t="s">
        <v>16</v>
      </c>
      <c r="F17" s="2"/>
      <c r="G17" s="2"/>
      <c r="H17" s="2"/>
      <c r="I17" s="2"/>
      <c r="J17" s="2"/>
      <c r="K17" s="37"/>
      <c r="L17" s="37"/>
      <c r="M17" s="2"/>
      <c r="N17" s="2"/>
      <c r="O17" s="2">
        <v>4</v>
      </c>
      <c r="P17" s="2"/>
      <c r="Q17" s="2"/>
      <c r="R17" s="37"/>
      <c r="S17" s="37"/>
      <c r="T17" s="2"/>
      <c r="U17" s="2"/>
      <c r="V17" s="2">
        <v>4</v>
      </c>
      <c r="W17" s="2"/>
      <c r="X17" s="2"/>
      <c r="Y17" s="37"/>
      <c r="Z17" s="37"/>
      <c r="AA17" s="2"/>
      <c r="AB17" s="2"/>
      <c r="AC17" s="2">
        <v>4</v>
      </c>
      <c r="AD17" s="2"/>
      <c r="AE17" s="2"/>
      <c r="AF17" s="37"/>
      <c r="AG17" s="37"/>
      <c r="AH17" s="2"/>
      <c r="AI17" s="2"/>
      <c r="AJ17" s="2">
        <v>4</v>
      </c>
      <c r="AK17" s="2"/>
      <c r="AL17" s="2"/>
      <c r="AM17" s="37"/>
      <c r="AN17" s="37"/>
      <c r="AO17" s="45">
        <f t="shared" si="0"/>
        <v>16</v>
      </c>
      <c r="AP17" s="58" t="s">
        <v>112</v>
      </c>
    </row>
    <row r="18" spans="1:43" s="32" customFormat="1" ht="27.75" customHeight="1" x14ac:dyDescent="0.25">
      <c r="A18" s="100"/>
      <c r="B18" s="38" t="s">
        <v>126</v>
      </c>
      <c r="C18" s="38" t="s">
        <v>31</v>
      </c>
      <c r="D18" s="36" t="s">
        <v>107</v>
      </c>
      <c r="E18" s="2" t="s">
        <v>16</v>
      </c>
      <c r="F18" s="2"/>
      <c r="G18" s="2"/>
      <c r="H18" s="2"/>
      <c r="I18" s="2"/>
      <c r="J18" s="44">
        <v>4</v>
      </c>
      <c r="K18" s="37"/>
      <c r="L18" s="37"/>
      <c r="M18" s="2"/>
      <c r="N18" s="2"/>
      <c r="O18" s="2"/>
      <c r="P18" s="2">
        <v>4</v>
      </c>
      <c r="Q18" s="2"/>
      <c r="R18" s="37"/>
      <c r="S18" s="37"/>
      <c r="T18" s="2"/>
      <c r="U18" s="2"/>
      <c r="V18" s="2"/>
      <c r="W18" s="2">
        <v>4</v>
      </c>
      <c r="X18" s="2"/>
      <c r="Y18" s="37"/>
      <c r="Z18" s="37"/>
      <c r="AA18" s="2"/>
      <c r="AB18" s="2"/>
      <c r="AC18" s="2"/>
      <c r="AD18" s="2">
        <v>4</v>
      </c>
      <c r="AE18" s="2"/>
      <c r="AF18" s="37"/>
      <c r="AG18" s="37"/>
      <c r="AH18" s="2"/>
      <c r="AI18" s="2"/>
      <c r="AJ18" s="2"/>
      <c r="AK18" s="2">
        <v>4</v>
      </c>
      <c r="AL18" s="2"/>
      <c r="AM18" s="37"/>
      <c r="AN18" s="37"/>
      <c r="AO18" s="45">
        <f t="shared" si="0"/>
        <v>20</v>
      </c>
      <c r="AP18" s="56" t="str">
        <f>AP10</f>
        <v>28/45</v>
      </c>
      <c r="AQ18" s="32" t="s">
        <v>162</v>
      </c>
    </row>
    <row r="19" spans="1:43" s="32" customFormat="1" ht="20.25" customHeight="1" x14ac:dyDescent="0.25">
      <c r="A19" s="101"/>
      <c r="B19" s="35" t="s">
        <v>27</v>
      </c>
      <c r="C19" s="38" t="s">
        <v>26</v>
      </c>
      <c r="D19" s="36" t="s">
        <v>107</v>
      </c>
      <c r="E19" s="2" t="s">
        <v>116</v>
      </c>
      <c r="F19" s="2"/>
      <c r="G19" s="2"/>
      <c r="H19" s="2"/>
      <c r="I19" s="2"/>
      <c r="J19" s="2">
        <v>1</v>
      </c>
      <c r="K19" s="37"/>
      <c r="L19" s="37"/>
      <c r="M19" s="2">
        <v>1</v>
      </c>
      <c r="N19" s="2"/>
      <c r="O19" s="2"/>
      <c r="P19" s="2"/>
      <c r="Q19" s="2"/>
      <c r="R19" s="37"/>
      <c r="S19" s="37"/>
      <c r="T19" s="2">
        <v>1</v>
      </c>
      <c r="U19" s="2"/>
      <c r="V19" s="2"/>
      <c r="W19" s="2"/>
      <c r="X19" s="2"/>
      <c r="Y19" s="37"/>
      <c r="Z19" s="37"/>
      <c r="AA19" s="2"/>
      <c r="AB19" s="2"/>
      <c r="AC19" s="2"/>
      <c r="AD19" s="2"/>
      <c r="AE19" s="2"/>
      <c r="AF19" s="37"/>
      <c r="AG19" s="37"/>
      <c r="AH19" s="2"/>
      <c r="AI19" s="2"/>
      <c r="AJ19" s="2"/>
      <c r="AK19" s="2"/>
      <c r="AL19" s="2"/>
      <c r="AM19" s="37"/>
      <c r="AN19" s="37"/>
      <c r="AO19" s="45">
        <f t="shared" si="0"/>
        <v>3</v>
      </c>
      <c r="AP19" s="58"/>
    </row>
    <row r="20" spans="1:43" s="32" customFormat="1" ht="27" customHeight="1" x14ac:dyDescent="0.25">
      <c r="A20" s="99" t="s">
        <v>97</v>
      </c>
      <c r="B20" s="38" t="s">
        <v>30</v>
      </c>
      <c r="C20" s="38" t="s">
        <v>26</v>
      </c>
      <c r="D20" s="36" t="s">
        <v>107</v>
      </c>
      <c r="E20" s="2" t="s">
        <v>17</v>
      </c>
      <c r="F20" s="2"/>
      <c r="G20" s="2"/>
      <c r="H20" s="2"/>
      <c r="I20" s="2"/>
      <c r="J20" s="2"/>
      <c r="K20" s="37"/>
      <c r="L20" s="37"/>
      <c r="M20" s="2">
        <v>4</v>
      </c>
      <c r="N20" s="2">
        <v>4</v>
      </c>
      <c r="O20" s="2"/>
      <c r="P20" s="2"/>
      <c r="Q20" s="2"/>
      <c r="R20" s="37"/>
      <c r="S20" s="37"/>
      <c r="T20" s="2">
        <v>4</v>
      </c>
      <c r="U20" s="2">
        <v>4</v>
      </c>
      <c r="V20" s="2"/>
      <c r="W20" s="2"/>
      <c r="X20" s="2"/>
      <c r="Y20" s="37"/>
      <c r="Z20" s="37"/>
      <c r="AA20" s="2">
        <v>4</v>
      </c>
      <c r="AB20" s="2">
        <v>4</v>
      </c>
      <c r="AC20" s="2"/>
      <c r="AD20" s="2"/>
      <c r="AE20" s="2"/>
      <c r="AF20" s="37"/>
      <c r="AG20" s="37"/>
      <c r="AH20" s="2">
        <v>4</v>
      </c>
      <c r="AI20" s="2">
        <v>4</v>
      </c>
      <c r="AJ20" s="2"/>
      <c r="AK20" s="2"/>
      <c r="AL20" s="2"/>
      <c r="AM20" s="37"/>
      <c r="AN20" s="37"/>
      <c r="AO20" s="45">
        <f t="shared" si="0"/>
        <v>32</v>
      </c>
      <c r="AP20" s="58" t="s">
        <v>165</v>
      </c>
    </row>
    <row r="21" spans="1:43" s="32" customFormat="1" ht="27" customHeight="1" x14ac:dyDescent="0.25">
      <c r="A21" s="100"/>
      <c r="B21" s="38" t="s">
        <v>149</v>
      </c>
      <c r="C21" s="38" t="s">
        <v>26</v>
      </c>
      <c r="D21" s="36" t="s">
        <v>107</v>
      </c>
      <c r="E21" s="2" t="s">
        <v>17</v>
      </c>
      <c r="F21" s="2"/>
      <c r="G21" s="2"/>
      <c r="H21" s="2"/>
      <c r="I21" s="2"/>
      <c r="J21" s="2">
        <v>4</v>
      </c>
      <c r="K21" s="37"/>
      <c r="L21" s="37"/>
      <c r="M21" s="2"/>
      <c r="N21" s="2"/>
      <c r="O21" s="2">
        <v>4</v>
      </c>
      <c r="P21" s="2"/>
      <c r="Q21" s="2"/>
      <c r="R21" s="37"/>
      <c r="S21" s="37"/>
      <c r="T21" s="2"/>
      <c r="U21" s="2"/>
      <c r="V21" s="2">
        <v>4</v>
      </c>
      <c r="W21" s="2"/>
      <c r="X21" s="2"/>
      <c r="Y21" s="37"/>
      <c r="Z21" s="37"/>
      <c r="AA21" s="2"/>
      <c r="AB21" s="2"/>
      <c r="AC21" s="2">
        <v>4</v>
      </c>
      <c r="AD21" s="2"/>
      <c r="AE21" s="2"/>
      <c r="AF21" s="37"/>
      <c r="AG21" s="37"/>
      <c r="AH21" s="2"/>
      <c r="AI21" s="2"/>
      <c r="AJ21" s="2">
        <v>4</v>
      </c>
      <c r="AK21" s="2"/>
      <c r="AL21" s="2"/>
      <c r="AM21" s="37"/>
      <c r="AN21" s="37"/>
      <c r="AO21" s="45">
        <f t="shared" si="0"/>
        <v>20</v>
      </c>
      <c r="AP21" s="58" t="s">
        <v>150</v>
      </c>
    </row>
    <row r="22" spans="1:43" s="32" customFormat="1" ht="27" customHeight="1" x14ac:dyDescent="0.25">
      <c r="A22" s="100"/>
      <c r="B22" s="38" t="s">
        <v>126</v>
      </c>
      <c r="C22" s="38" t="s">
        <v>31</v>
      </c>
      <c r="D22" s="36" t="s">
        <v>107</v>
      </c>
      <c r="E22" s="2" t="s">
        <v>16</v>
      </c>
      <c r="F22" s="2"/>
      <c r="G22" s="2"/>
      <c r="H22" s="2"/>
      <c r="I22" s="2"/>
      <c r="J22" s="2"/>
      <c r="K22" s="37"/>
      <c r="L22" s="37"/>
      <c r="M22" s="2"/>
      <c r="N22" s="2">
        <v>4</v>
      </c>
      <c r="O22" s="2"/>
      <c r="P22" s="2"/>
      <c r="Q22" s="2"/>
      <c r="R22" s="37"/>
      <c r="S22" s="37"/>
      <c r="T22" s="2"/>
      <c r="U22" s="2">
        <v>4</v>
      </c>
      <c r="V22" s="2"/>
      <c r="W22" s="2"/>
      <c r="X22" s="2"/>
      <c r="Y22" s="37"/>
      <c r="Z22" s="37"/>
      <c r="AA22" s="2"/>
      <c r="AB22" s="2">
        <v>4</v>
      </c>
      <c r="AC22" s="2"/>
      <c r="AD22" s="2"/>
      <c r="AE22" s="2"/>
      <c r="AF22" s="37"/>
      <c r="AG22" s="37"/>
      <c r="AH22" s="2"/>
      <c r="AI22" s="2">
        <v>4</v>
      </c>
      <c r="AJ22" s="2"/>
      <c r="AK22" s="2"/>
      <c r="AL22" s="2"/>
      <c r="AM22" s="37"/>
      <c r="AN22" s="37"/>
      <c r="AO22" s="45">
        <f t="shared" si="0"/>
        <v>16</v>
      </c>
      <c r="AP22" s="58" t="str">
        <f>AP18</f>
        <v>28/45</v>
      </c>
      <c r="AQ22" s="32" t="s">
        <v>162</v>
      </c>
    </row>
    <row r="23" spans="1:43" s="32" customFormat="1" ht="27" customHeight="1" x14ac:dyDescent="0.25">
      <c r="A23" s="101"/>
      <c r="B23" s="38" t="s">
        <v>101</v>
      </c>
      <c r="C23" s="38" t="s">
        <v>95</v>
      </c>
      <c r="D23" s="36" t="s">
        <v>107</v>
      </c>
      <c r="E23" s="2" t="s">
        <v>116</v>
      </c>
      <c r="F23" s="2"/>
      <c r="G23" s="2"/>
      <c r="H23" s="2"/>
      <c r="I23" s="2"/>
      <c r="J23" s="2">
        <v>1</v>
      </c>
      <c r="K23" s="37"/>
      <c r="L23" s="37"/>
      <c r="M23" s="2">
        <v>1</v>
      </c>
      <c r="N23" s="2"/>
      <c r="O23" s="2"/>
      <c r="P23" s="2"/>
      <c r="Q23" s="2"/>
      <c r="R23" s="37"/>
      <c r="S23" s="37"/>
      <c r="T23" s="2">
        <v>1</v>
      </c>
      <c r="U23" s="2"/>
      <c r="V23" s="2"/>
      <c r="W23" s="2"/>
      <c r="X23" s="2"/>
      <c r="Y23" s="37"/>
      <c r="Z23" s="37"/>
      <c r="AA23" s="2">
        <v>1</v>
      </c>
      <c r="AB23" s="2"/>
      <c r="AC23" s="2"/>
      <c r="AD23" s="2"/>
      <c r="AE23" s="2"/>
      <c r="AF23" s="37"/>
      <c r="AG23" s="37"/>
      <c r="AH23" s="2">
        <v>1</v>
      </c>
      <c r="AI23" s="2"/>
      <c r="AJ23" s="2"/>
      <c r="AK23" s="2"/>
      <c r="AL23" s="2"/>
      <c r="AM23" s="37"/>
      <c r="AN23" s="37"/>
      <c r="AO23" s="45">
        <f t="shared" si="0"/>
        <v>5</v>
      </c>
      <c r="AP23" s="58"/>
    </row>
    <row r="24" spans="1:43" s="32" customFormat="1" ht="29.25" customHeight="1" x14ac:dyDescent="0.25">
      <c r="A24" s="99" t="s">
        <v>98</v>
      </c>
      <c r="B24" s="38" t="s">
        <v>30</v>
      </c>
      <c r="C24" s="38" t="s">
        <v>26</v>
      </c>
      <c r="D24" s="36" t="s">
        <v>107</v>
      </c>
      <c r="E24" s="2" t="s">
        <v>17</v>
      </c>
      <c r="F24" s="2"/>
      <c r="G24" s="2"/>
      <c r="H24" s="2"/>
      <c r="I24" s="2"/>
      <c r="J24" s="2"/>
      <c r="K24" s="37"/>
      <c r="L24" s="37"/>
      <c r="M24" s="2">
        <v>4</v>
      </c>
      <c r="N24" s="2">
        <v>4</v>
      </c>
      <c r="O24" s="2"/>
      <c r="P24" s="2"/>
      <c r="Q24" s="2"/>
      <c r="R24" s="37"/>
      <c r="S24" s="37"/>
      <c r="T24" s="2">
        <v>4</v>
      </c>
      <c r="U24" s="2">
        <v>4</v>
      </c>
      <c r="V24" s="2"/>
      <c r="W24" s="2"/>
      <c r="X24" s="2"/>
      <c r="Y24" s="37"/>
      <c r="Z24" s="37"/>
      <c r="AA24" s="2">
        <v>4</v>
      </c>
      <c r="AB24" s="2">
        <v>4</v>
      </c>
      <c r="AC24" s="2"/>
      <c r="AD24" s="2"/>
      <c r="AE24" s="2"/>
      <c r="AF24" s="37"/>
      <c r="AG24" s="37"/>
      <c r="AH24" s="2">
        <v>4</v>
      </c>
      <c r="AI24" s="2">
        <v>4</v>
      </c>
      <c r="AJ24" s="2"/>
      <c r="AK24" s="2"/>
      <c r="AL24" s="2"/>
      <c r="AM24" s="37"/>
      <c r="AN24" s="37"/>
      <c r="AO24" s="45">
        <f t="shared" si="0"/>
        <v>32</v>
      </c>
      <c r="AP24" s="59" t="str">
        <f>AP20</f>
        <v>32/120</v>
      </c>
    </row>
    <row r="25" spans="1:43" s="32" customFormat="1" ht="29.25" customHeight="1" x14ac:dyDescent="0.25">
      <c r="A25" s="100"/>
      <c r="B25" s="38" t="s">
        <v>149</v>
      </c>
      <c r="C25" s="38" t="s">
        <v>26</v>
      </c>
      <c r="D25" s="36" t="s">
        <v>107</v>
      </c>
      <c r="E25" s="2" t="s">
        <v>17</v>
      </c>
      <c r="F25" s="2"/>
      <c r="G25" s="2"/>
      <c r="H25" s="2"/>
      <c r="I25" s="2"/>
      <c r="J25" s="2">
        <v>4</v>
      </c>
      <c r="K25" s="37"/>
      <c r="L25" s="37"/>
      <c r="M25" s="2"/>
      <c r="N25" s="2"/>
      <c r="O25" s="2">
        <v>4</v>
      </c>
      <c r="P25" s="2"/>
      <c r="Q25" s="2"/>
      <c r="R25" s="37"/>
      <c r="S25" s="37"/>
      <c r="T25" s="2"/>
      <c r="U25" s="2"/>
      <c r="V25" s="2">
        <v>4</v>
      </c>
      <c r="W25" s="2"/>
      <c r="X25" s="2"/>
      <c r="Y25" s="37"/>
      <c r="Z25" s="37"/>
      <c r="AA25" s="2"/>
      <c r="AB25" s="2"/>
      <c r="AC25" s="2">
        <v>4</v>
      </c>
      <c r="AD25" s="2"/>
      <c r="AE25" s="2"/>
      <c r="AF25" s="37"/>
      <c r="AG25" s="37"/>
      <c r="AH25" s="2"/>
      <c r="AI25" s="2"/>
      <c r="AJ25" s="2">
        <v>4</v>
      </c>
      <c r="AK25" s="2"/>
      <c r="AL25" s="2"/>
      <c r="AM25" s="37"/>
      <c r="AN25" s="37"/>
      <c r="AO25" s="45">
        <f t="shared" si="0"/>
        <v>20</v>
      </c>
      <c r="AP25" s="59" t="str">
        <f>AP21</f>
        <v>20/45</v>
      </c>
    </row>
    <row r="26" spans="1:43" s="32" customFormat="1" ht="29.25" customHeight="1" x14ac:dyDescent="0.25">
      <c r="A26" s="101"/>
      <c r="B26" s="35" t="s">
        <v>27</v>
      </c>
      <c r="C26" s="35" t="s">
        <v>95</v>
      </c>
      <c r="D26" s="36" t="s">
        <v>107</v>
      </c>
      <c r="E26" s="2" t="s">
        <v>116</v>
      </c>
      <c r="F26" s="2"/>
      <c r="G26" s="2"/>
      <c r="H26" s="2"/>
      <c r="I26" s="2"/>
      <c r="J26" s="2">
        <v>1</v>
      </c>
      <c r="K26" s="37"/>
      <c r="L26" s="37"/>
      <c r="M26" s="2">
        <v>1</v>
      </c>
      <c r="N26" s="2"/>
      <c r="O26" s="2"/>
      <c r="P26" s="2"/>
      <c r="Q26" s="2"/>
      <c r="R26" s="37"/>
      <c r="S26" s="37"/>
      <c r="T26" s="2">
        <v>1</v>
      </c>
      <c r="U26" s="2"/>
      <c r="V26" s="2"/>
      <c r="W26" s="2"/>
      <c r="X26" s="2"/>
      <c r="Y26" s="37"/>
      <c r="Z26" s="37"/>
      <c r="AA26" s="2">
        <v>1</v>
      </c>
      <c r="AB26" s="2"/>
      <c r="AC26" s="2"/>
      <c r="AD26" s="2"/>
      <c r="AE26" s="2"/>
      <c r="AF26" s="37"/>
      <c r="AG26" s="37"/>
      <c r="AH26" s="2">
        <v>1</v>
      </c>
      <c r="AI26" s="2"/>
      <c r="AJ26" s="2"/>
      <c r="AK26" s="2"/>
      <c r="AL26" s="2"/>
      <c r="AM26" s="37"/>
      <c r="AN26" s="37"/>
      <c r="AO26" s="45">
        <f t="shared" si="0"/>
        <v>5</v>
      </c>
      <c r="AP26" s="58"/>
    </row>
    <row r="27" spans="1:43" s="32" customFormat="1" ht="28.5" customHeight="1" x14ac:dyDescent="0.25">
      <c r="A27" s="99" t="s">
        <v>119</v>
      </c>
      <c r="B27" s="38" t="s">
        <v>122</v>
      </c>
      <c r="C27" s="38" t="s">
        <v>94</v>
      </c>
      <c r="D27" s="36" t="s">
        <v>107</v>
      </c>
      <c r="E27" s="2" t="s">
        <v>15</v>
      </c>
      <c r="F27" s="2"/>
      <c r="G27" s="2"/>
      <c r="H27" s="2"/>
      <c r="I27" s="2"/>
      <c r="J27" s="2">
        <v>4</v>
      </c>
      <c r="K27" s="37"/>
      <c r="L27" s="37"/>
      <c r="M27" s="2">
        <v>3</v>
      </c>
      <c r="N27" s="2"/>
      <c r="O27" s="2"/>
      <c r="P27" s="2"/>
      <c r="Q27" s="2"/>
      <c r="R27" s="37"/>
      <c r="S27" s="37"/>
      <c r="T27" s="2"/>
      <c r="U27" s="2"/>
      <c r="V27" s="2"/>
      <c r="W27" s="2"/>
      <c r="X27" s="2"/>
      <c r="Y27" s="37"/>
      <c r="Z27" s="37"/>
      <c r="AA27" s="2"/>
      <c r="AB27" s="2"/>
      <c r="AC27" s="2"/>
      <c r="AD27" s="2"/>
      <c r="AE27" s="2"/>
      <c r="AF27" s="37"/>
      <c r="AG27" s="37"/>
      <c r="AH27" s="2"/>
      <c r="AI27" s="2"/>
      <c r="AJ27" s="2"/>
      <c r="AK27" s="2"/>
      <c r="AL27" s="2"/>
      <c r="AM27" s="37"/>
      <c r="AN27" s="37"/>
      <c r="AO27" s="45">
        <f t="shared" si="0"/>
        <v>7</v>
      </c>
      <c r="AP27" s="58" t="s">
        <v>144</v>
      </c>
    </row>
    <row r="28" spans="1:43" s="32" customFormat="1" ht="28.5" customHeight="1" x14ac:dyDescent="0.25">
      <c r="A28" s="100"/>
      <c r="B28" s="38" t="s">
        <v>123</v>
      </c>
      <c r="C28" s="38" t="s">
        <v>26</v>
      </c>
      <c r="D28" s="36" t="s">
        <v>107</v>
      </c>
      <c r="E28" s="2" t="s">
        <v>15</v>
      </c>
      <c r="F28" s="2"/>
      <c r="G28" s="2"/>
      <c r="H28" s="2"/>
      <c r="I28" s="2">
        <v>3</v>
      </c>
      <c r="J28" s="2"/>
      <c r="K28" s="37"/>
      <c r="L28" s="37"/>
      <c r="M28" s="2"/>
      <c r="N28" s="2"/>
      <c r="O28" s="2"/>
      <c r="P28" s="2"/>
      <c r="Q28" s="2"/>
      <c r="R28" s="37"/>
      <c r="S28" s="37"/>
      <c r="T28" s="2"/>
      <c r="U28" s="2"/>
      <c r="V28" s="2"/>
      <c r="W28" s="2"/>
      <c r="X28" s="2"/>
      <c r="Y28" s="37"/>
      <c r="Z28" s="37"/>
      <c r="AA28" s="2"/>
      <c r="AB28" s="2"/>
      <c r="AC28" s="2"/>
      <c r="AD28" s="2"/>
      <c r="AE28" s="2"/>
      <c r="AF28" s="37"/>
      <c r="AG28" s="37"/>
      <c r="AH28" s="2"/>
      <c r="AI28" s="2"/>
      <c r="AJ28" s="2"/>
      <c r="AK28" s="2"/>
      <c r="AL28" s="2"/>
      <c r="AM28" s="37"/>
      <c r="AN28" s="37"/>
      <c r="AO28" s="45">
        <f t="shared" si="0"/>
        <v>3</v>
      </c>
      <c r="AP28" s="58" t="s">
        <v>144</v>
      </c>
    </row>
    <row r="29" spans="1:43" s="32" customFormat="1" ht="28.5" customHeight="1" x14ac:dyDescent="0.25">
      <c r="A29" s="100"/>
      <c r="B29" s="38" t="s">
        <v>151</v>
      </c>
      <c r="C29" s="38" t="s">
        <v>95</v>
      </c>
      <c r="D29" s="36" t="s">
        <v>107</v>
      </c>
      <c r="E29" s="2" t="s">
        <v>15</v>
      </c>
      <c r="F29" s="2"/>
      <c r="G29" s="2"/>
      <c r="H29" s="2"/>
      <c r="I29" s="2"/>
      <c r="J29" s="2"/>
      <c r="K29" s="37"/>
      <c r="L29" s="37"/>
      <c r="M29" s="2"/>
      <c r="N29" s="2"/>
      <c r="O29" s="2">
        <v>4</v>
      </c>
      <c r="P29" s="2"/>
      <c r="Q29" s="2"/>
      <c r="R29" s="37"/>
      <c r="S29" s="37"/>
      <c r="T29" s="2">
        <v>4</v>
      </c>
      <c r="U29" s="2"/>
      <c r="V29" s="2"/>
      <c r="W29" s="2"/>
      <c r="X29" s="2"/>
      <c r="Y29" s="37"/>
      <c r="Z29" s="37"/>
      <c r="AA29" s="2">
        <v>4</v>
      </c>
      <c r="AB29" s="2"/>
      <c r="AC29" s="2"/>
      <c r="AD29" s="2"/>
      <c r="AE29" s="2"/>
      <c r="AF29" s="37"/>
      <c r="AG29" s="37"/>
      <c r="AH29" s="2">
        <v>4</v>
      </c>
      <c r="AI29" s="2"/>
      <c r="AJ29" s="2"/>
      <c r="AK29" s="2"/>
      <c r="AL29" s="2"/>
      <c r="AM29" s="37"/>
      <c r="AN29" s="37"/>
      <c r="AO29" s="45">
        <f t="shared" si="0"/>
        <v>16</v>
      </c>
      <c r="AP29" s="58" t="s">
        <v>152</v>
      </c>
    </row>
    <row r="30" spans="1:43" s="32" customFormat="1" ht="28.5" customHeight="1" x14ac:dyDescent="0.25">
      <c r="A30" s="100"/>
      <c r="B30" s="40" t="s">
        <v>166</v>
      </c>
      <c r="C30" s="38" t="s">
        <v>167</v>
      </c>
      <c r="D30" s="36" t="s">
        <v>115</v>
      </c>
      <c r="E30" s="2" t="s">
        <v>15</v>
      </c>
      <c r="F30" s="2"/>
      <c r="G30" s="2"/>
      <c r="H30" s="2"/>
      <c r="I30" s="2"/>
      <c r="J30" s="2"/>
      <c r="K30" s="37"/>
      <c r="L30" s="37"/>
      <c r="M30" s="2"/>
      <c r="N30" s="2">
        <v>4</v>
      </c>
      <c r="O30" s="2"/>
      <c r="P30" s="2"/>
      <c r="Q30" s="2"/>
      <c r="R30" s="37"/>
      <c r="S30" s="37"/>
      <c r="T30" s="2"/>
      <c r="U30" s="2">
        <v>4</v>
      </c>
      <c r="V30" s="2"/>
      <c r="W30" s="2"/>
      <c r="X30" s="2"/>
      <c r="Y30" s="37"/>
      <c r="Z30" s="37"/>
      <c r="AA30" s="2"/>
      <c r="AB30" s="2">
        <v>4</v>
      </c>
      <c r="AC30" s="2"/>
      <c r="AD30" s="2"/>
      <c r="AE30" s="2"/>
      <c r="AF30" s="37"/>
      <c r="AG30" s="37"/>
      <c r="AH30" s="2"/>
      <c r="AI30" s="2">
        <v>4</v>
      </c>
      <c r="AJ30" s="2"/>
      <c r="AK30" s="2"/>
      <c r="AL30" s="2"/>
      <c r="AM30" s="37"/>
      <c r="AN30" s="37"/>
      <c r="AO30" s="45">
        <f t="shared" si="0"/>
        <v>16</v>
      </c>
      <c r="AP30" s="58" t="s">
        <v>168</v>
      </c>
    </row>
    <row r="31" spans="1:43" s="32" customFormat="1" ht="28.5" customHeight="1" x14ac:dyDescent="0.25">
      <c r="A31" s="100"/>
      <c r="B31" s="38" t="s">
        <v>93</v>
      </c>
      <c r="C31" s="38" t="s">
        <v>103</v>
      </c>
      <c r="D31" s="36">
        <v>2.4</v>
      </c>
      <c r="E31" s="2" t="s">
        <v>16</v>
      </c>
      <c r="F31" s="2"/>
      <c r="G31" s="2"/>
      <c r="H31" s="2"/>
      <c r="I31" s="2"/>
      <c r="J31" s="2"/>
      <c r="K31" s="37"/>
      <c r="L31" s="37"/>
      <c r="M31" s="2"/>
      <c r="N31" s="2"/>
      <c r="O31" s="2">
        <v>4</v>
      </c>
      <c r="P31" s="2"/>
      <c r="Q31" s="2"/>
      <c r="R31" s="37"/>
      <c r="S31" s="37"/>
      <c r="T31" s="2"/>
      <c r="U31" s="2"/>
      <c r="V31" s="2">
        <v>4</v>
      </c>
      <c r="W31" s="2"/>
      <c r="X31" s="2"/>
      <c r="Y31" s="37"/>
      <c r="Z31" s="37"/>
      <c r="AA31" s="2"/>
      <c r="AB31" s="2"/>
      <c r="AC31" s="2">
        <v>4</v>
      </c>
      <c r="AD31" s="2"/>
      <c r="AE31" s="2"/>
      <c r="AF31" s="37"/>
      <c r="AG31" s="37"/>
      <c r="AH31" s="2"/>
      <c r="AI31" s="2"/>
      <c r="AJ31" s="2">
        <v>4</v>
      </c>
      <c r="AK31" s="2"/>
      <c r="AL31" s="2"/>
      <c r="AM31" s="37"/>
      <c r="AN31" s="37"/>
      <c r="AO31" s="45">
        <f t="shared" si="0"/>
        <v>16</v>
      </c>
      <c r="AP31" s="57" t="str">
        <f>AP13</f>
        <v>24/36</v>
      </c>
    </row>
    <row r="32" spans="1:43" s="32" customFormat="1" ht="28.5" customHeight="1" x14ac:dyDescent="0.25">
      <c r="A32" s="101"/>
      <c r="B32" s="35" t="s">
        <v>27</v>
      </c>
      <c r="C32" s="38" t="s">
        <v>26</v>
      </c>
      <c r="D32" s="36" t="s">
        <v>107</v>
      </c>
      <c r="E32" s="2" t="s">
        <v>116</v>
      </c>
      <c r="F32" s="2"/>
      <c r="G32" s="2"/>
      <c r="H32" s="2"/>
      <c r="I32" s="2">
        <v>1</v>
      </c>
      <c r="J32" s="2"/>
      <c r="K32" s="37"/>
      <c r="L32" s="37"/>
      <c r="M32" s="2">
        <v>1</v>
      </c>
      <c r="N32" s="2"/>
      <c r="O32" s="2"/>
      <c r="P32" s="2"/>
      <c r="Q32" s="2"/>
      <c r="R32" s="37"/>
      <c r="S32" s="37"/>
      <c r="T32" s="2">
        <v>1</v>
      </c>
      <c r="U32" s="2"/>
      <c r="V32" s="2"/>
      <c r="W32" s="2"/>
      <c r="X32" s="2"/>
      <c r="Y32" s="37"/>
      <c r="Z32" s="37"/>
      <c r="AA32" s="2">
        <v>1</v>
      </c>
      <c r="AB32" s="2"/>
      <c r="AC32" s="2"/>
      <c r="AD32" s="2"/>
      <c r="AE32" s="2"/>
      <c r="AF32" s="37"/>
      <c r="AG32" s="37"/>
      <c r="AH32" s="2">
        <v>1</v>
      </c>
      <c r="AI32" s="2"/>
      <c r="AJ32" s="2"/>
      <c r="AK32" s="2"/>
      <c r="AL32" s="2"/>
      <c r="AM32" s="37"/>
      <c r="AN32" s="37"/>
      <c r="AO32" s="45">
        <f t="shared" si="0"/>
        <v>5</v>
      </c>
      <c r="AP32" s="58"/>
    </row>
    <row r="33" spans="1:42" s="32" customFormat="1" ht="24.75" customHeight="1" x14ac:dyDescent="0.25">
      <c r="A33" s="99" t="s">
        <v>120</v>
      </c>
      <c r="B33" s="38" t="s">
        <v>122</v>
      </c>
      <c r="C33" s="38" t="s">
        <v>94</v>
      </c>
      <c r="D33" s="36" t="s">
        <v>107</v>
      </c>
      <c r="E33" s="2" t="s">
        <v>16</v>
      </c>
      <c r="F33" s="2"/>
      <c r="G33" s="2"/>
      <c r="H33" s="2"/>
      <c r="I33" s="2"/>
      <c r="J33" s="2">
        <v>4</v>
      </c>
      <c r="K33" s="37"/>
      <c r="L33" s="37"/>
      <c r="M33" s="2">
        <v>3</v>
      </c>
      <c r="N33" s="2"/>
      <c r="O33" s="2"/>
      <c r="P33" s="2"/>
      <c r="Q33" s="2"/>
      <c r="R33" s="37"/>
      <c r="S33" s="37"/>
      <c r="T33" s="2"/>
      <c r="U33" s="2"/>
      <c r="V33" s="2"/>
      <c r="W33" s="2"/>
      <c r="X33" s="2"/>
      <c r="Y33" s="37"/>
      <c r="Z33" s="37"/>
      <c r="AA33" s="2"/>
      <c r="AB33" s="2"/>
      <c r="AC33" s="2"/>
      <c r="AD33" s="2"/>
      <c r="AE33" s="2"/>
      <c r="AF33" s="37"/>
      <c r="AG33" s="37"/>
      <c r="AH33" s="2"/>
      <c r="AI33" s="2"/>
      <c r="AJ33" s="2"/>
      <c r="AK33" s="2"/>
      <c r="AL33" s="2"/>
      <c r="AM33" s="37"/>
      <c r="AN33" s="37"/>
      <c r="AO33" s="45">
        <f t="shared" si="0"/>
        <v>7</v>
      </c>
      <c r="AP33" s="58" t="s">
        <v>144</v>
      </c>
    </row>
    <row r="34" spans="1:42" s="32" customFormat="1" ht="24.75" customHeight="1" x14ac:dyDescent="0.25">
      <c r="A34" s="100"/>
      <c r="B34" s="38" t="s">
        <v>123</v>
      </c>
      <c r="C34" s="38" t="s">
        <v>26</v>
      </c>
      <c r="D34" s="36" t="s">
        <v>107</v>
      </c>
      <c r="E34" s="2" t="s">
        <v>16</v>
      </c>
      <c r="F34" s="2"/>
      <c r="G34" s="2"/>
      <c r="H34" s="2"/>
      <c r="I34" s="2">
        <v>3</v>
      </c>
      <c r="J34" s="2"/>
      <c r="K34" s="37"/>
      <c r="L34" s="37"/>
      <c r="M34" s="2"/>
      <c r="N34" s="2"/>
      <c r="O34" s="2"/>
      <c r="P34" s="2"/>
      <c r="Q34" s="2"/>
      <c r="R34" s="37"/>
      <c r="S34" s="37"/>
      <c r="T34" s="2"/>
      <c r="U34" s="2"/>
      <c r="V34" s="2"/>
      <c r="W34" s="2"/>
      <c r="X34" s="2"/>
      <c r="Y34" s="37"/>
      <c r="Z34" s="37"/>
      <c r="AA34" s="2"/>
      <c r="AB34" s="2"/>
      <c r="AC34" s="2"/>
      <c r="AD34" s="2"/>
      <c r="AE34" s="2"/>
      <c r="AF34" s="37"/>
      <c r="AG34" s="37"/>
      <c r="AH34" s="2"/>
      <c r="AI34" s="2"/>
      <c r="AJ34" s="2"/>
      <c r="AK34" s="2"/>
      <c r="AL34" s="2"/>
      <c r="AM34" s="37"/>
      <c r="AN34" s="37"/>
      <c r="AO34" s="45">
        <f t="shared" si="0"/>
        <v>3</v>
      </c>
      <c r="AP34" s="58" t="s">
        <v>144</v>
      </c>
    </row>
    <row r="35" spans="1:42" s="32" customFormat="1" ht="24.75" customHeight="1" x14ac:dyDescent="0.25">
      <c r="A35" s="100"/>
      <c r="B35" s="38" t="s">
        <v>151</v>
      </c>
      <c r="C35" s="38" t="s">
        <v>95</v>
      </c>
      <c r="D35" s="36" t="s">
        <v>107</v>
      </c>
      <c r="E35" s="2" t="s">
        <v>15</v>
      </c>
      <c r="F35" s="2"/>
      <c r="G35" s="2"/>
      <c r="H35" s="2"/>
      <c r="I35" s="2"/>
      <c r="J35" s="2"/>
      <c r="K35" s="37"/>
      <c r="L35" s="37"/>
      <c r="M35" s="2"/>
      <c r="N35" s="2"/>
      <c r="O35" s="2">
        <v>4</v>
      </c>
      <c r="P35" s="2"/>
      <c r="Q35" s="2"/>
      <c r="R35" s="37"/>
      <c r="S35" s="37"/>
      <c r="T35" s="2">
        <v>4</v>
      </c>
      <c r="U35" s="2"/>
      <c r="V35" s="2"/>
      <c r="W35" s="2"/>
      <c r="X35" s="2"/>
      <c r="Y35" s="37"/>
      <c r="Z35" s="37"/>
      <c r="AA35" s="2">
        <v>4</v>
      </c>
      <c r="AB35" s="2"/>
      <c r="AC35" s="2"/>
      <c r="AD35" s="2"/>
      <c r="AE35" s="2"/>
      <c r="AF35" s="37"/>
      <c r="AG35" s="37"/>
      <c r="AH35" s="2">
        <v>4</v>
      </c>
      <c r="AI35" s="2"/>
      <c r="AJ35" s="2"/>
      <c r="AK35" s="2"/>
      <c r="AL35" s="2"/>
      <c r="AM35" s="37"/>
      <c r="AN35" s="37"/>
      <c r="AO35" s="45">
        <f t="shared" si="0"/>
        <v>16</v>
      </c>
      <c r="AP35" s="58" t="str">
        <f>AP29</f>
        <v>16/30</v>
      </c>
    </row>
    <row r="36" spans="1:42" s="32" customFormat="1" ht="24.75" customHeight="1" x14ac:dyDescent="0.25">
      <c r="A36" s="100"/>
      <c r="B36" s="38" t="s">
        <v>88</v>
      </c>
      <c r="C36" s="38" t="s">
        <v>87</v>
      </c>
      <c r="D36" s="36">
        <v>2.1</v>
      </c>
      <c r="E36" s="2" t="s">
        <v>15</v>
      </c>
      <c r="F36" s="2"/>
      <c r="G36" s="2"/>
      <c r="H36" s="2"/>
      <c r="I36" s="2"/>
      <c r="J36" s="2"/>
      <c r="K36" s="37"/>
      <c r="L36" s="37"/>
      <c r="M36" s="2"/>
      <c r="N36" s="2">
        <v>4</v>
      </c>
      <c r="O36" s="2"/>
      <c r="P36" s="2"/>
      <c r="Q36" s="2"/>
      <c r="R36" s="37"/>
      <c r="S36" s="37"/>
      <c r="T36" s="2"/>
      <c r="U36" s="2">
        <v>4</v>
      </c>
      <c r="V36" s="2"/>
      <c r="W36" s="2"/>
      <c r="X36" s="2"/>
      <c r="Y36" s="37"/>
      <c r="Z36" s="37"/>
      <c r="AA36" s="2"/>
      <c r="AB36" s="2">
        <v>4</v>
      </c>
      <c r="AC36" s="2"/>
      <c r="AD36" s="2"/>
      <c r="AE36" s="2"/>
      <c r="AF36" s="37"/>
      <c r="AG36" s="37"/>
      <c r="AH36" s="2"/>
      <c r="AI36" s="2">
        <v>4</v>
      </c>
      <c r="AJ36" s="2"/>
      <c r="AK36" s="2"/>
      <c r="AL36" s="2"/>
      <c r="AM36" s="37"/>
      <c r="AN36" s="37"/>
      <c r="AO36" s="45">
        <f t="shared" si="0"/>
        <v>16</v>
      </c>
      <c r="AP36" s="58" t="s">
        <v>152</v>
      </c>
    </row>
    <row r="37" spans="1:42" s="32" customFormat="1" ht="24.75" customHeight="1" x14ac:dyDescent="0.25">
      <c r="A37" s="100"/>
      <c r="B37" s="38" t="s">
        <v>34</v>
      </c>
      <c r="C37" s="38" t="s">
        <v>124</v>
      </c>
      <c r="D37" s="36">
        <v>2.1</v>
      </c>
      <c r="E37" s="2" t="s">
        <v>15</v>
      </c>
      <c r="F37" s="2"/>
      <c r="G37" s="2"/>
      <c r="H37" s="2"/>
      <c r="I37" s="2"/>
      <c r="J37" s="2"/>
      <c r="K37" s="37"/>
      <c r="L37" s="37"/>
      <c r="M37" s="2"/>
      <c r="N37" s="2"/>
      <c r="O37" s="2"/>
      <c r="P37" s="2">
        <v>4</v>
      </c>
      <c r="Q37" s="2"/>
      <c r="R37" s="37"/>
      <c r="S37" s="37"/>
      <c r="T37" s="2"/>
      <c r="U37" s="2"/>
      <c r="V37" s="2">
        <v>4</v>
      </c>
      <c r="W37" s="2"/>
      <c r="X37" s="2"/>
      <c r="Y37" s="37"/>
      <c r="Z37" s="37"/>
      <c r="AA37" s="2"/>
      <c r="AB37" s="2"/>
      <c r="AC37" s="2">
        <v>4</v>
      </c>
      <c r="AD37" s="2"/>
      <c r="AE37" s="2"/>
      <c r="AF37" s="37"/>
      <c r="AG37" s="37"/>
      <c r="AH37" s="2"/>
      <c r="AI37" s="2"/>
      <c r="AJ37" s="2">
        <v>4</v>
      </c>
      <c r="AK37" s="2"/>
      <c r="AL37" s="2"/>
      <c r="AM37" s="37"/>
      <c r="AN37" s="37"/>
      <c r="AO37" s="45">
        <f t="shared" si="0"/>
        <v>16</v>
      </c>
      <c r="AP37" s="58" t="s">
        <v>195</v>
      </c>
    </row>
    <row r="38" spans="1:42" s="32" customFormat="1" ht="24.75" customHeight="1" x14ac:dyDescent="0.25">
      <c r="A38" s="101"/>
      <c r="B38" s="35" t="s">
        <v>27</v>
      </c>
      <c r="C38" s="34" t="s">
        <v>26</v>
      </c>
      <c r="D38" s="36" t="s">
        <v>107</v>
      </c>
      <c r="E38" s="2" t="s">
        <v>116</v>
      </c>
      <c r="F38" s="2"/>
      <c r="G38" s="2"/>
      <c r="H38" s="2"/>
      <c r="I38" s="2">
        <v>1</v>
      </c>
      <c r="J38" s="2"/>
      <c r="K38" s="37"/>
      <c r="L38" s="37"/>
      <c r="M38" s="2"/>
      <c r="N38" s="2"/>
      <c r="O38" s="2"/>
      <c r="P38" s="2"/>
      <c r="Q38" s="2"/>
      <c r="R38" s="37"/>
      <c r="S38" s="37"/>
      <c r="T38" s="2"/>
      <c r="U38" s="2"/>
      <c r="V38" s="2"/>
      <c r="W38" s="2"/>
      <c r="X38" s="2"/>
      <c r="Y38" s="37"/>
      <c r="Z38" s="37"/>
      <c r="AA38" s="2"/>
      <c r="AB38" s="2"/>
      <c r="AC38" s="2"/>
      <c r="AD38" s="2"/>
      <c r="AE38" s="2"/>
      <c r="AF38" s="37"/>
      <c r="AG38" s="37"/>
      <c r="AH38" s="2"/>
      <c r="AI38" s="2"/>
      <c r="AJ38" s="2"/>
      <c r="AK38" s="2"/>
      <c r="AL38" s="2"/>
      <c r="AM38" s="37"/>
      <c r="AN38" s="37"/>
      <c r="AO38" s="45">
        <f t="shared" si="0"/>
        <v>1</v>
      </c>
      <c r="AP38" s="58"/>
    </row>
    <row r="39" spans="1:42" s="32" customFormat="1" ht="24.75" customHeight="1" x14ac:dyDescent="0.25">
      <c r="A39" s="99" t="s">
        <v>121</v>
      </c>
      <c r="B39" s="38" t="s">
        <v>122</v>
      </c>
      <c r="C39" s="38" t="s">
        <v>94</v>
      </c>
      <c r="D39" s="36" t="s">
        <v>107</v>
      </c>
      <c r="E39" s="2" t="s">
        <v>15</v>
      </c>
      <c r="F39" s="2"/>
      <c r="G39" s="2"/>
      <c r="H39" s="2"/>
      <c r="I39" s="2"/>
      <c r="J39" s="2">
        <v>4</v>
      </c>
      <c r="K39" s="37"/>
      <c r="L39" s="37"/>
      <c r="M39" s="2">
        <v>3</v>
      </c>
      <c r="N39" s="2"/>
      <c r="O39" s="2"/>
      <c r="P39" s="2"/>
      <c r="Q39" s="2"/>
      <c r="R39" s="37"/>
      <c r="S39" s="37"/>
      <c r="T39" s="2"/>
      <c r="U39" s="2"/>
      <c r="V39" s="2"/>
      <c r="W39" s="2"/>
      <c r="X39" s="2"/>
      <c r="Y39" s="37"/>
      <c r="Z39" s="37"/>
      <c r="AA39" s="2"/>
      <c r="AB39" s="2"/>
      <c r="AC39" s="2"/>
      <c r="AD39" s="2"/>
      <c r="AE39" s="2"/>
      <c r="AF39" s="37"/>
      <c r="AG39" s="37"/>
      <c r="AH39" s="2"/>
      <c r="AI39" s="2"/>
      <c r="AJ39" s="2"/>
      <c r="AK39" s="2"/>
      <c r="AL39" s="2"/>
      <c r="AM39" s="37"/>
      <c r="AN39" s="37"/>
      <c r="AO39" s="45">
        <f t="shared" si="0"/>
        <v>7</v>
      </c>
      <c r="AP39" s="58" t="str">
        <f>AP33</f>
        <v>15/15</v>
      </c>
    </row>
    <row r="40" spans="1:42" s="32" customFormat="1" ht="24.75" customHeight="1" x14ac:dyDescent="0.25">
      <c r="A40" s="100"/>
      <c r="B40" s="38" t="s">
        <v>123</v>
      </c>
      <c r="C40" s="38" t="s">
        <v>26</v>
      </c>
      <c r="D40" s="36" t="s">
        <v>107</v>
      </c>
      <c r="E40" s="2" t="s">
        <v>15</v>
      </c>
      <c r="F40" s="2"/>
      <c r="G40" s="2"/>
      <c r="H40" s="2"/>
      <c r="I40" s="2">
        <v>3</v>
      </c>
      <c r="J40" s="2"/>
      <c r="K40" s="37"/>
      <c r="L40" s="37"/>
      <c r="M40" s="2"/>
      <c r="N40" s="2"/>
      <c r="O40" s="2"/>
      <c r="P40" s="2"/>
      <c r="Q40" s="2"/>
      <c r="R40" s="37"/>
      <c r="S40" s="37"/>
      <c r="T40" s="2"/>
      <c r="U40" s="2"/>
      <c r="V40" s="2"/>
      <c r="W40" s="2"/>
      <c r="X40" s="2"/>
      <c r="Y40" s="37"/>
      <c r="Z40" s="37"/>
      <c r="AA40" s="2"/>
      <c r="AB40" s="2"/>
      <c r="AC40" s="2"/>
      <c r="AD40" s="2"/>
      <c r="AE40" s="2"/>
      <c r="AF40" s="37"/>
      <c r="AG40" s="37"/>
      <c r="AH40" s="2"/>
      <c r="AI40" s="2"/>
      <c r="AJ40" s="2"/>
      <c r="AK40" s="2"/>
      <c r="AL40" s="2"/>
      <c r="AM40" s="37"/>
      <c r="AN40" s="37"/>
      <c r="AO40" s="45">
        <f t="shared" si="0"/>
        <v>3</v>
      </c>
      <c r="AP40" s="58" t="str">
        <f>AP34</f>
        <v>15/15</v>
      </c>
    </row>
    <row r="41" spans="1:42" s="32" customFormat="1" ht="50.25" customHeight="1" x14ac:dyDescent="0.25">
      <c r="A41" s="100"/>
      <c r="B41" s="40" t="s">
        <v>153</v>
      </c>
      <c r="C41" s="38" t="s">
        <v>94</v>
      </c>
      <c r="D41" s="36" t="s">
        <v>107</v>
      </c>
      <c r="E41" s="2" t="s">
        <v>15</v>
      </c>
      <c r="F41" s="2"/>
      <c r="G41" s="2"/>
      <c r="H41" s="2"/>
      <c r="I41" s="2"/>
      <c r="J41" s="2"/>
      <c r="K41" s="37"/>
      <c r="L41" s="37"/>
      <c r="M41" s="2"/>
      <c r="N41" s="2"/>
      <c r="O41" s="2">
        <v>4</v>
      </c>
      <c r="P41" s="2"/>
      <c r="Q41" s="2"/>
      <c r="R41" s="37"/>
      <c r="S41" s="37"/>
      <c r="T41" s="2">
        <v>4</v>
      </c>
      <c r="U41" s="2"/>
      <c r="V41" s="2"/>
      <c r="W41" s="2"/>
      <c r="X41" s="2"/>
      <c r="Y41" s="37"/>
      <c r="Z41" s="37"/>
      <c r="AA41" s="2">
        <v>4</v>
      </c>
      <c r="AB41" s="2"/>
      <c r="AC41" s="2"/>
      <c r="AD41" s="2"/>
      <c r="AE41" s="2"/>
      <c r="AF41" s="37"/>
      <c r="AG41" s="37"/>
      <c r="AH41" s="2">
        <v>4</v>
      </c>
      <c r="AI41" s="2"/>
      <c r="AJ41" s="2"/>
      <c r="AK41" s="2"/>
      <c r="AL41" s="2"/>
      <c r="AM41" s="37"/>
      <c r="AN41" s="37"/>
      <c r="AO41" s="45">
        <f t="shared" si="0"/>
        <v>16</v>
      </c>
      <c r="AP41" s="58" t="s">
        <v>112</v>
      </c>
    </row>
    <row r="42" spans="1:42" s="32" customFormat="1" ht="24.75" customHeight="1" x14ac:dyDescent="0.25">
      <c r="A42" s="100"/>
      <c r="B42" s="38" t="s">
        <v>88</v>
      </c>
      <c r="C42" s="38" t="s">
        <v>87</v>
      </c>
      <c r="D42" s="36">
        <v>2.1</v>
      </c>
      <c r="E42" s="2" t="s">
        <v>15</v>
      </c>
      <c r="F42" s="2"/>
      <c r="G42" s="2"/>
      <c r="H42" s="2"/>
      <c r="I42" s="2"/>
      <c r="J42" s="2"/>
      <c r="K42" s="37"/>
      <c r="L42" s="37"/>
      <c r="M42" s="2"/>
      <c r="N42" s="2">
        <v>4</v>
      </c>
      <c r="O42" s="2"/>
      <c r="P42" s="2"/>
      <c r="Q42" s="2"/>
      <c r="R42" s="37"/>
      <c r="S42" s="37"/>
      <c r="T42" s="2"/>
      <c r="U42" s="2">
        <v>4</v>
      </c>
      <c r="V42" s="2"/>
      <c r="W42" s="2"/>
      <c r="X42" s="2"/>
      <c r="Y42" s="37"/>
      <c r="Z42" s="37"/>
      <c r="AA42" s="2"/>
      <c r="AB42" s="2">
        <v>4</v>
      </c>
      <c r="AC42" s="2"/>
      <c r="AD42" s="2"/>
      <c r="AE42" s="2"/>
      <c r="AF42" s="37"/>
      <c r="AG42" s="37"/>
      <c r="AH42" s="2"/>
      <c r="AI42" s="2">
        <v>4</v>
      </c>
      <c r="AJ42" s="2"/>
      <c r="AK42" s="2"/>
      <c r="AL42" s="2"/>
      <c r="AM42" s="37"/>
      <c r="AN42" s="37"/>
      <c r="AO42" s="45">
        <f t="shared" si="0"/>
        <v>16</v>
      </c>
      <c r="AP42" s="58" t="str">
        <f>AP36</f>
        <v>16/30</v>
      </c>
    </row>
    <row r="43" spans="1:42" s="32" customFormat="1" ht="24.75" customHeight="1" x14ac:dyDescent="0.25">
      <c r="A43" s="100"/>
      <c r="B43" s="38" t="s">
        <v>34</v>
      </c>
      <c r="C43" s="38" t="s">
        <v>124</v>
      </c>
      <c r="D43" s="36">
        <v>2.1</v>
      </c>
      <c r="E43" s="2" t="s">
        <v>15</v>
      </c>
      <c r="F43" s="2"/>
      <c r="G43" s="2"/>
      <c r="H43" s="2"/>
      <c r="I43" s="2"/>
      <c r="J43" s="2"/>
      <c r="K43" s="37"/>
      <c r="L43" s="37"/>
      <c r="M43" s="2"/>
      <c r="N43" s="2"/>
      <c r="O43" s="2"/>
      <c r="P43" s="2">
        <v>4</v>
      </c>
      <c r="Q43" s="2"/>
      <c r="R43" s="37"/>
      <c r="S43" s="37"/>
      <c r="T43" s="2"/>
      <c r="U43" s="2"/>
      <c r="V43" s="2">
        <v>4</v>
      </c>
      <c r="W43" s="2"/>
      <c r="X43" s="2"/>
      <c r="Y43" s="37"/>
      <c r="Z43" s="37"/>
      <c r="AA43" s="2"/>
      <c r="AB43" s="2"/>
      <c r="AC43" s="2">
        <v>4</v>
      </c>
      <c r="AD43" s="2"/>
      <c r="AE43" s="2"/>
      <c r="AF43" s="37"/>
      <c r="AG43" s="37"/>
      <c r="AH43" s="2"/>
      <c r="AI43" s="2"/>
      <c r="AJ43" s="2">
        <v>4</v>
      </c>
      <c r="AK43" s="2"/>
      <c r="AL43" s="2"/>
      <c r="AM43" s="37"/>
      <c r="AN43" s="37"/>
      <c r="AO43" s="45">
        <f t="shared" si="0"/>
        <v>16</v>
      </c>
      <c r="AP43" s="58" t="str">
        <f>AP37</f>
        <v>16/90</v>
      </c>
    </row>
    <row r="44" spans="1:42" s="32" customFormat="1" ht="24.75" customHeight="1" x14ac:dyDescent="0.25">
      <c r="A44" s="100"/>
      <c r="B44" s="38" t="s">
        <v>155</v>
      </c>
      <c r="C44" s="38" t="s">
        <v>156</v>
      </c>
      <c r="D44" s="36" t="s">
        <v>157</v>
      </c>
      <c r="E44" s="2" t="s">
        <v>15</v>
      </c>
      <c r="F44" s="2"/>
      <c r="G44" s="2"/>
      <c r="H44" s="2"/>
      <c r="I44" s="2"/>
      <c r="J44" s="2"/>
      <c r="K44" s="37"/>
      <c r="L44" s="37"/>
      <c r="M44" s="2"/>
      <c r="N44" s="2"/>
      <c r="O44" s="2"/>
      <c r="P44" s="2"/>
      <c r="Q44" s="2">
        <v>4</v>
      </c>
      <c r="R44" s="37"/>
      <c r="S44" s="37"/>
      <c r="T44" s="2"/>
      <c r="U44" s="2"/>
      <c r="V44" s="2"/>
      <c r="W44" s="2"/>
      <c r="X44" s="2">
        <v>4</v>
      </c>
      <c r="Y44" s="37"/>
      <c r="Z44" s="37"/>
      <c r="AA44" s="2"/>
      <c r="AB44" s="2"/>
      <c r="AC44" s="2"/>
      <c r="AD44" s="2"/>
      <c r="AE44" s="2">
        <v>4</v>
      </c>
      <c r="AF44" s="37"/>
      <c r="AG44" s="37"/>
      <c r="AH44" s="2"/>
      <c r="AI44" s="2"/>
      <c r="AJ44" s="2"/>
      <c r="AK44" s="2"/>
      <c r="AL44" s="2">
        <v>4</v>
      </c>
      <c r="AM44" s="37"/>
      <c r="AN44" s="37"/>
      <c r="AO44" s="45">
        <f t="shared" si="0"/>
        <v>16</v>
      </c>
      <c r="AP44" s="58" t="s">
        <v>152</v>
      </c>
    </row>
    <row r="45" spans="1:42" s="32" customFormat="1" ht="24.75" customHeight="1" x14ac:dyDescent="0.25">
      <c r="A45" s="100"/>
      <c r="B45" s="35" t="s">
        <v>27</v>
      </c>
      <c r="C45" s="34" t="s">
        <v>94</v>
      </c>
      <c r="D45" s="36" t="s">
        <v>107</v>
      </c>
      <c r="E45" s="2" t="s">
        <v>116</v>
      </c>
      <c r="F45" s="2"/>
      <c r="G45" s="2"/>
      <c r="H45" s="2"/>
      <c r="I45" s="2"/>
      <c r="J45" s="2">
        <v>1</v>
      </c>
      <c r="K45" s="37"/>
      <c r="L45" s="37"/>
      <c r="M45" s="2">
        <v>1</v>
      </c>
      <c r="N45" s="2"/>
      <c r="O45" s="2"/>
      <c r="P45" s="2"/>
      <c r="Q45" s="2"/>
      <c r="R45" s="37"/>
      <c r="S45" s="37"/>
      <c r="T45" s="2">
        <v>1</v>
      </c>
      <c r="U45" s="2"/>
      <c r="V45" s="2"/>
      <c r="W45" s="2"/>
      <c r="X45" s="2"/>
      <c r="Y45" s="37"/>
      <c r="Z45" s="37"/>
      <c r="AA45" s="2">
        <v>1</v>
      </c>
      <c r="AB45" s="2"/>
      <c r="AC45" s="2"/>
      <c r="AD45" s="2"/>
      <c r="AE45" s="2"/>
      <c r="AF45" s="37"/>
      <c r="AG45" s="37"/>
      <c r="AH45" s="2">
        <v>1</v>
      </c>
      <c r="AI45" s="2"/>
      <c r="AJ45" s="2"/>
      <c r="AK45" s="2"/>
      <c r="AL45" s="2"/>
      <c r="AM45" s="37"/>
      <c r="AN45" s="37"/>
      <c r="AO45" s="45">
        <f t="shared" si="0"/>
        <v>5</v>
      </c>
      <c r="AP45" s="58"/>
    </row>
    <row r="46" spans="1:42" s="32" customFormat="1" ht="30" customHeight="1" x14ac:dyDescent="0.25">
      <c r="A46" s="99" t="s">
        <v>102</v>
      </c>
      <c r="B46" s="123" t="s">
        <v>34</v>
      </c>
      <c r="C46" s="124" t="s">
        <v>124</v>
      </c>
      <c r="D46" s="118" t="s">
        <v>99</v>
      </c>
      <c r="E46" s="2" t="s">
        <v>15</v>
      </c>
      <c r="F46" s="2"/>
      <c r="G46" s="2"/>
      <c r="H46" s="2"/>
      <c r="I46" s="2"/>
      <c r="J46" s="2"/>
      <c r="K46" s="37"/>
      <c r="L46" s="37"/>
      <c r="M46" s="2"/>
      <c r="N46" s="2"/>
      <c r="O46" s="2"/>
      <c r="P46" s="2"/>
      <c r="Q46" s="2"/>
      <c r="R46" s="37"/>
      <c r="S46" s="37"/>
      <c r="T46" s="2"/>
      <c r="U46" s="2"/>
      <c r="V46" s="2"/>
      <c r="W46" s="2"/>
      <c r="X46" s="2"/>
      <c r="Y46" s="37">
        <v>5</v>
      </c>
      <c r="Z46" s="37"/>
      <c r="AA46" s="2"/>
      <c r="AB46" s="2"/>
      <c r="AC46" s="2"/>
      <c r="AD46" s="2"/>
      <c r="AE46" s="2"/>
      <c r="AF46" s="37">
        <v>5</v>
      </c>
      <c r="AG46" s="37"/>
      <c r="AH46" s="2"/>
      <c r="AI46" s="2"/>
      <c r="AJ46" s="2"/>
      <c r="AK46" s="2"/>
      <c r="AL46" s="2"/>
      <c r="AM46" s="37">
        <v>5</v>
      </c>
      <c r="AN46" s="37"/>
      <c r="AO46" s="125">
        <f>SUM(R46:AN47)</f>
        <v>27</v>
      </c>
      <c r="AP46" s="122" t="s">
        <v>160</v>
      </c>
    </row>
    <row r="47" spans="1:42" s="32" customFormat="1" ht="30" customHeight="1" x14ac:dyDescent="0.25">
      <c r="A47" s="101"/>
      <c r="B47" s="123"/>
      <c r="C47" s="124"/>
      <c r="D47" s="118"/>
      <c r="E47" s="2" t="s">
        <v>16</v>
      </c>
      <c r="F47" s="2"/>
      <c r="G47" s="2"/>
      <c r="H47" s="2"/>
      <c r="I47" s="2"/>
      <c r="J47" s="2"/>
      <c r="K47" s="37"/>
      <c r="L47" s="37"/>
      <c r="M47" s="2"/>
      <c r="N47" s="2"/>
      <c r="O47" s="2"/>
      <c r="P47" s="2"/>
      <c r="Q47" s="2"/>
      <c r="R47" s="37"/>
      <c r="S47" s="37"/>
      <c r="T47" s="2"/>
      <c r="U47" s="2"/>
      <c r="V47" s="2"/>
      <c r="W47" s="2"/>
      <c r="X47" s="2"/>
      <c r="Y47" s="37">
        <v>4</v>
      </c>
      <c r="Z47" s="37"/>
      <c r="AA47" s="2"/>
      <c r="AB47" s="2"/>
      <c r="AC47" s="2"/>
      <c r="AD47" s="2"/>
      <c r="AE47" s="2"/>
      <c r="AF47" s="37">
        <v>4</v>
      </c>
      <c r="AG47" s="37"/>
      <c r="AH47" s="2"/>
      <c r="AI47" s="2"/>
      <c r="AJ47" s="2"/>
      <c r="AK47" s="2"/>
      <c r="AL47" s="2"/>
      <c r="AM47" s="37">
        <v>4</v>
      </c>
      <c r="AN47" s="37"/>
      <c r="AO47" s="125"/>
      <c r="AP47" s="122"/>
    </row>
    <row r="48" spans="1:42" s="32" customFormat="1" ht="45.75" customHeight="1" x14ac:dyDescent="0.25">
      <c r="A48" s="41" t="s">
        <v>104</v>
      </c>
      <c r="B48" s="38" t="s">
        <v>30</v>
      </c>
      <c r="C48" s="38" t="s">
        <v>26</v>
      </c>
      <c r="D48" s="36" t="s">
        <v>100</v>
      </c>
      <c r="E48" s="2" t="s">
        <v>16</v>
      </c>
      <c r="F48" s="2"/>
      <c r="G48" s="2"/>
      <c r="H48" s="2"/>
      <c r="I48" s="2"/>
      <c r="J48" s="2"/>
      <c r="K48" s="37"/>
      <c r="L48" s="37"/>
      <c r="M48" s="2"/>
      <c r="N48" s="2"/>
      <c r="O48" s="2"/>
      <c r="P48" s="2"/>
      <c r="Q48" s="2"/>
      <c r="R48" s="37"/>
      <c r="S48" s="37"/>
      <c r="T48" s="2"/>
      <c r="U48" s="2"/>
      <c r="V48" s="2">
        <v>5</v>
      </c>
      <c r="W48" s="2">
        <v>5</v>
      </c>
      <c r="X48" s="2"/>
      <c r="Y48" s="37"/>
      <c r="Z48" s="37"/>
      <c r="AA48" s="2"/>
      <c r="AB48" s="2"/>
      <c r="AC48" s="2">
        <v>5</v>
      </c>
      <c r="AD48" s="2">
        <v>5</v>
      </c>
      <c r="AE48" s="2"/>
      <c r="AF48" s="37"/>
      <c r="AG48" s="37"/>
      <c r="AH48" s="2"/>
      <c r="AI48" s="2"/>
      <c r="AJ48" s="2">
        <v>5</v>
      </c>
      <c r="AK48" s="2">
        <v>5</v>
      </c>
      <c r="AL48" s="2"/>
      <c r="AM48" s="37"/>
      <c r="AN48" s="37"/>
      <c r="AO48" s="45">
        <f>SUM(F48:AN48)</f>
        <v>30</v>
      </c>
      <c r="AP48" s="58" t="s">
        <v>161</v>
      </c>
    </row>
    <row r="49" spans="1:42" s="32" customFormat="1" ht="21" customHeight="1" x14ac:dyDescent="0.25">
      <c r="A49" s="118" t="s">
        <v>111</v>
      </c>
      <c r="B49" s="123" t="s">
        <v>30</v>
      </c>
      <c r="C49" s="124" t="s">
        <v>95</v>
      </c>
      <c r="D49" s="118" t="s">
        <v>105</v>
      </c>
      <c r="E49" s="2" t="s">
        <v>17</v>
      </c>
      <c r="F49" s="2"/>
      <c r="G49" s="2"/>
      <c r="H49" s="2"/>
      <c r="I49" s="2"/>
      <c r="J49" s="2"/>
      <c r="K49" s="37"/>
      <c r="L49" s="37"/>
      <c r="M49" s="2"/>
      <c r="N49" s="2"/>
      <c r="O49" s="2"/>
      <c r="P49" s="2"/>
      <c r="Q49" s="2"/>
      <c r="R49" s="37"/>
      <c r="S49" s="37"/>
      <c r="T49" s="2"/>
      <c r="U49" s="2"/>
      <c r="V49" s="2"/>
      <c r="W49" s="2"/>
      <c r="X49" s="2">
        <v>4</v>
      </c>
      <c r="Y49" s="37"/>
      <c r="Z49" s="37"/>
      <c r="AA49" s="2"/>
      <c r="AB49" s="2"/>
      <c r="AC49" s="2"/>
      <c r="AD49" s="2"/>
      <c r="AE49" s="2">
        <v>4</v>
      </c>
      <c r="AF49" s="37"/>
      <c r="AG49" s="37"/>
      <c r="AH49" s="2"/>
      <c r="AI49" s="2"/>
      <c r="AJ49" s="2"/>
      <c r="AK49" s="2"/>
      <c r="AL49" s="2">
        <v>4</v>
      </c>
      <c r="AM49" s="37"/>
      <c r="AN49" s="37"/>
      <c r="AO49" s="125">
        <f>SUM(F49:AN50)</f>
        <v>39</v>
      </c>
      <c r="AP49" s="122" t="s">
        <v>239</v>
      </c>
    </row>
    <row r="50" spans="1:42" s="32" customFormat="1" ht="25.5" customHeight="1" x14ac:dyDescent="0.25">
      <c r="A50" s="118"/>
      <c r="B50" s="123"/>
      <c r="C50" s="124"/>
      <c r="D50" s="118"/>
      <c r="E50" s="2" t="s">
        <v>16</v>
      </c>
      <c r="F50" s="2"/>
      <c r="G50" s="2"/>
      <c r="H50" s="2"/>
      <c r="I50" s="2"/>
      <c r="J50" s="2"/>
      <c r="K50" s="37"/>
      <c r="L50" s="37"/>
      <c r="M50" s="2"/>
      <c r="N50" s="2"/>
      <c r="O50" s="2"/>
      <c r="P50" s="2"/>
      <c r="Q50" s="2"/>
      <c r="R50" s="37"/>
      <c r="S50" s="37"/>
      <c r="T50" s="2"/>
      <c r="U50" s="2"/>
      <c r="V50" s="2"/>
      <c r="W50" s="2">
        <v>5</v>
      </c>
      <c r="X50" s="2">
        <v>4</v>
      </c>
      <c r="Y50" s="37"/>
      <c r="Z50" s="37"/>
      <c r="AA50" s="2"/>
      <c r="AB50" s="2"/>
      <c r="AC50" s="2"/>
      <c r="AD50" s="2">
        <v>5</v>
      </c>
      <c r="AE50" s="2">
        <v>4</v>
      </c>
      <c r="AF50" s="37"/>
      <c r="AG50" s="37"/>
      <c r="AH50" s="2"/>
      <c r="AI50" s="2"/>
      <c r="AJ50" s="2"/>
      <c r="AK50" s="2">
        <v>5</v>
      </c>
      <c r="AL50" s="2">
        <v>4</v>
      </c>
      <c r="AM50" s="37"/>
      <c r="AN50" s="37"/>
      <c r="AO50" s="125"/>
      <c r="AP50" s="122"/>
    </row>
    <row r="51" spans="1:42" s="32" customFormat="1" ht="15.75" x14ac:dyDescent="0.25">
      <c r="A51" s="100" t="s">
        <v>109</v>
      </c>
      <c r="B51" s="123" t="s">
        <v>25</v>
      </c>
      <c r="C51" s="124" t="s">
        <v>86</v>
      </c>
      <c r="D51" s="118" t="s">
        <v>110</v>
      </c>
      <c r="E51" s="2" t="s">
        <v>17</v>
      </c>
      <c r="F51" s="2"/>
      <c r="G51" s="2"/>
      <c r="H51" s="2"/>
      <c r="I51" s="2"/>
      <c r="J51" s="2"/>
      <c r="K51" s="37"/>
      <c r="L51" s="37"/>
      <c r="M51" s="2"/>
      <c r="N51" s="2"/>
      <c r="O51" s="2"/>
      <c r="P51" s="2"/>
      <c r="Q51" s="2"/>
      <c r="R51" s="37"/>
      <c r="S51" s="37"/>
      <c r="T51" s="2"/>
      <c r="U51" s="2"/>
      <c r="V51" s="2"/>
      <c r="W51" s="2"/>
      <c r="X51" s="2"/>
      <c r="Y51" s="37">
        <v>4</v>
      </c>
      <c r="Z51" s="37"/>
      <c r="AA51" s="2"/>
      <c r="AB51" s="2"/>
      <c r="AC51" s="2"/>
      <c r="AD51" s="2"/>
      <c r="AE51" s="2"/>
      <c r="AF51" s="37">
        <v>4</v>
      </c>
      <c r="AG51" s="37"/>
      <c r="AH51" s="2"/>
      <c r="AI51" s="2"/>
      <c r="AJ51" s="2"/>
      <c r="AK51" s="2"/>
      <c r="AL51" s="2"/>
      <c r="AM51" s="37"/>
      <c r="AN51" s="37"/>
      <c r="AO51" s="125">
        <v>24</v>
      </c>
      <c r="AP51" s="122" t="s">
        <v>159</v>
      </c>
    </row>
    <row r="52" spans="1:42" s="32" customFormat="1" ht="15.75" x14ac:dyDescent="0.25">
      <c r="A52" s="100"/>
      <c r="B52" s="123"/>
      <c r="C52" s="124"/>
      <c r="D52" s="118"/>
      <c r="E52" s="2" t="s">
        <v>16</v>
      </c>
      <c r="F52" s="2"/>
      <c r="G52" s="2"/>
      <c r="H52" s="2"/>
      <c r="I52" s="2"/>
      <c r="J52" s="2"/>
      <c r="K52" s="37"/>
      <c r="L52" s="37"/>
      <c r="M52" s="2"/>
      <c r="N52" s="2"/>
      <c r="O52" s="2"/>
      <c r="P52" s="2"/>
      <c r="Q52" s="2"/>
      <c r="R52" s="37"/>
      <c r="S52" s="37"/>
      <c r="T52" s="2"/>
      <c r="U52" s="2"/>
      <c r="V52" s="2"/>
      <c r="W52" s="2"/>
      <c r="X52" s="2">
        <v>4</v>
      </c>
      <c r="Y52" s="37">
        <v>4</v>
      </c>
      <c r="Z52" s="37"/>
      <c r="AA52" s="2"/>
      <c r="AB52" s="2"/>
      <c r="AC52" s="2"/>
      <c r="AD52" s="2"/>
      <c r="AE52" s="2">
        <v>4</v>
      </c>
      <c r="AF52" s="37">
        <v>4</v>
      </c>
      <c r="AG52" s="37"/>
      <c r="AH52" s="2"/>
      <c r="AI52" s="2"/>
      <c r="AJ52" s="2"/>
      <c r="AK52" s="2"/>
      <c r="AL52" s="2"/>
      <c r="AM52" s="37"/>
      <c r="AN52" s="37"/>
      <c r="AO52" s="125"/>
      <c r="AP52" s="122"/>
    </row>
    <row r="53" spans="1:42" s="32" customFormat="1" ht="15.75" x14ac:dyDescent="0.25">
      <c r="A53" s="100"/>
      <c r="B53" s="124" t="s">
        <v>158</v>
      </c>
      <c r="C53" s="124" t="s">
        <v>35</v>
      </c>
      <c r="D53" s="118"/>
      <c r="E53" s="2" t="s">
        <v>17</v>
      </c>
      <c r="F53" s="2"/>
      <c r="G53" s="2"/>
      <c r="H53" s="2"/>
      <c r="I53" s="2"/>
      <c r="J53" s="2"/>
      <c r="K53" s="37"/>
      <c r="L53" s="37"/>
      <c r="M53" s="2"/>
      <c r="N53" s="2"/>
      <c r="O53" s="2"/>
      <c r="P53" s="2"/>
      <c r="Q53" s="2"/>
      <c r="R53" s="37"/>
      <c r="S53" s="37"/>
      <c r="T53" s="2"/>
      <c r="U53" s="2"/>
      <c r="V53" s="2"/>
      <c r="W53" s="2"/>
      <c r="X53" s="2"/>
      <c r="Y53" s="37"/>
      <c r="Z53" s="37"/>
      <c r="AA53" s="2"/>
      <c r="AB53" s="2"/>
      <c r="AC53" s="2"/>
      <c r="AD53" s="2"/>
      <c r="AE53" s="2"/>
      <c r="AF53" s="37"/>
      <c r="AG53" s="37"/>
      <c r="AH53" s="2"/>
      <c r="AI53" s="2"/>
      <c r="AJ53" s="2"/>
      <c r="AK53" s="2"/>
      <c r="AL53" s="2"/>
      <c r="AM53" s="37">
        <v>4</v>
      </c>
      <c r="AN53" s="37"/>
      <c r="AO53" s="125">
        <v>12</v>
      </c>
      <c r="AP53" s="126" t="s">
        <v>163</v>
      </c>
    </row>
    <row r="54" spans="1:42" s="32" customFormat="1" ht="15.75" x14ac:dyDescent="0.25">
      <c r="A54" s="101"/>
      <c r="B54" s="124"/>
      <c r="C54" s="124"/>
      <c r="D54" s="118"/>
      <c r="E54" s="2" t="s">
        <v>16</v>
      </c>
      <c r="F54" s="2"/>
      <c r="G54" s="2"/>
      <c r="H54" s="2"/>
      <c r="I54" s="2"/>
      <c r="J54" s="2"/>
      <c r="K54" s="37"/>
      <c r="L54" s="37"/>
      <c r="M54" s="2"/>
      <c r="N54" s="2"/>
      <c r="O54" s="2"/>
      <c r="P54" s="2"/>
      <c r="Q54" s="2"/>
      <c r="R54" s="37"/>
      <c r="S54" s="37"/>
      <c r="T54" s="2"/>
      <c r="U54" s="2"/>
      <c r="V54" s="2"/>
      <c r="W54" s="2"/>
      <c r="X54" s="2"/>
      <c r="Y54" s="37"/>
      <c r="Z54" s="37"/>
      <c r="AA54" s="2"/>
      <c r="AB54" s="2"/>
      <c r="AC54" s="2"/>
      <c r="AD54" s="2"/>
      <c r="AE54" s="2"/>
      <c r="AF54" s="37"/>
      <c r="AG54" s="37"/>
      <c r="AH54" s="2"/>
      <c r="AI54" s="2"/>
      <c r="AJ54" s="2"/>
      <c r="AK54" s="2"/>
      <c r="AL54" s="2">
        <v>4</v>
      </c>
      <c r="AM54" s="37">
        <v>4</v>
      </c>
      <c r="AN54" s="37"/>
      <c r="AO54" s="125"/>
      <c r="AP54" s="120"/>
    </row>
    <row r="55" spans="1:42" x14ac:dyDescent="0.3">
      <c r="AB55" s="39" t="s">
        <v>164</v>
      </c>
      <c r="AG55" s="39"/>
      <c r="AH55" s="39"/>
      <c r="AI55" s="39"/>
      <c r="AJ55" s="39"/>
      <c r="AK55" s="39"/>
      <c r="AL55" s="39"/>
      <c r="AM55" s="39"/>
      <c r="AN55" s="39"/>
    </row>
    <row r="56" spans="1:42" s="29" customFormat="1" x14ac:dyDescent="0.3">
      <c r="B56" s="107" t="s">
        <v>12</v>
      </c>
      <c r="C56" s="107"/>
      <c r="D56" s="5"/>
      <c r="E56" s="29" t="s">
        <v>28</v>
      </c>
      <c r="AB56" s="5" t="s">
        <v>14</v>
      </c>
      <c r="AC56" s="5"/>
      <c r="AG56" s="5"/>
      <c r="AH56" s="5"/>
      <c r="AI56" s="5"/>
      <c r="AJ56" s="5"/>
      <c r="AK56" s="5"/>
      <c r="AL56" s="5"/>
      <c r="AM56" s="5"/>
      <c r="AN56" s="5"/>
      <c r="AO56" s="4"/>
      <c r="AP56" s="55"/>
    </row>
    <row r="57" spans="1:42" x14ac:dyDescent="0.3">
      <c r="D57" s="4" t="s">
        <v>29</v>
      </c>
      <c r="AB57" s="29"/>
    </row>
    <row r="59" spans="1:42" ht="12.75" customHeight="1" x14ac:dyDescent="0.3"/>
    <row r="60" spans="1:42" ht="12" customHeight="1" x14ac:dyDescent="0.3"/>
    <row r="61" spans="1:42" ht="10.5" customHeight="1" x14ac:dyDescent="0.3"/>
    <row r="62" spans="1:42" x14ac:dyDescent="0.3">
      <c r="E62" s="29" t="s">
        <v>113</v>
      </c>
      <c r="K62" s="29"/>
      <c r="L62" s="29"/>
      <c r="M62" s="29"/>
      <c r="N62" s="29"/>
      <c r="O62" s="29"/>
      <c r="P62" s="29"/>
      <c r="Q62" s="29"/>
      <c r="R62" s="29"/>
      <c r="Y62" s="29" t="s">
        <v>22</v>
      </c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</row>
    <row r="64" spans="1:42" s="27" customFormat="1" ht="18" hidden="1" customHeight="1" x14ac:dyDescent="0.25">
      <c r="A64" s="108" t="s">
        <v>0</v>
      </c>
      <c r="B64" s="108"/>
      <c r="C64" s="108"/>
      <c r="D64" s="108"/>
      <c r="E64" s="3"/>
      <c r="P64" s="28" t="s">
        <v>1</v>
      </c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43"/>
      <c r="AP64" s="55"/>
    </row>
    <row r="65" spans="1:42" s="27" customFormat="1" ht="16.5" hidden="1" customHeight="1" x14ac:dyDescent="0.25">
      <c r="A65" s="109" t="s">
        <v>2</v>
      </c>
      <c r="B65" s="109"/>
      <c r="C65" s="109"/>
      <c r="D65" s="109"/>
      <c r="E65" s="3"/>
      <c r="L65" s="109" t="s">
        <v>3</v>
      </c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52"/>
      <c r="AI65" s="52"/>
      <c r="AJ65" s="52"/>
      <c r="AK65" s="52"/>
      <c r="AL65" s="52"/>
      <c r="AM65" s="52"/>
      <c r="AN65" s="52"/>
      <c r="AO65" s="43"/>
      <c r="AP65" s="55"/>
    </row>
    <row r="66" spans="1:42" ht="16.5" hidden="1" customHeight="1" x14ac:dyDescent="0.3"/>
    <row r="67" spans="1:42" ht="16.5" hidden="1" customHeight="1" x14ac:dyDescent="0.3">
      <c r="A67" s="97" t="s">
        <v>20</v>
      </c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</row>
    <row r="68" spans="1:42" ht="16.5" hidden="1" customHeight="1" x14ac:dyDescent="0.3">
      <c r="A68" s="97" t="s">
        <v>24</v>
      </c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  <c r="AL68" s="97"/>
      <c r="AM68" s="97"/>
      <c r="AN68" s="97"/>
      <c r="AO68" s="97"/>
      <c r="AP68" s="97"/>
    </row>
    <row r="69" spans="1:42" ht="16.5" hidden="1" customHeight="1" x14ac:dyDescent="0.3"/>
    <row r="70" spans="1:42" s="32" customFormat="1" ht="16.5" hidden="1" customHeight="1" x14ac:dyDescent="0.25">
      <c r="A70" s="102" t="s">
        <v>4</v>
      </c>
      <c r="B70" s="102" t="s">
        <v>5</v>
      </c>
      <c r="C70" s="103" t="s">
        <v>11</v>
      </c>
      <c r="D70" s="104"/>
      <c r="E70" s="105"/>
      <c r="F70" s="106">
        <v>1</v>
      </c>
      <c r="G70" s="106"/>
      <c r="H70" s="106"/>
      <c r="I70" s="106"/>
      <c r="J70" s="106"/>
      <c r="K70" s="106"/>
      <c r="L70" s="106"/>
      <c r="M70" s="106">
        <v>2</v>
      </c>
      <c r="N70" s="106"/>
      <c r="O70" s="106"/>
      <c r="P70" s="106"/>
      <c r="Q70" s="106"/>
      <c r="R70" s="106"/>
      <c r="S70" s="106"/>
      <c r="T70" s="106">
        <v>3</v>
      </c>
      <c r="U70" s="106"/>
      <c r="V70" s="106"/>
      <c r="W70" s="106"/>
      <c r="X70" s="106"/>
      <c r="Y70" s="106"/>
      <c r="Z70" s="106"/>
      <c r="AA70" s="106">
        <v>4</v>
      </c>
      <c r="AB70" s="106"/>
      <c r="AC70" s="106"/>
      <c r="AD70" s="106"/>
      <c r="AE70" s="106"/>
      <c r="AF70" s="106"/>
      <c r="AG70" s="106"/>
      <c r="AH70" s="51"/>
      <c r="AI70" s="51"/>
      <c r="AJ70" s="51"/>
      <c r="AK70" s="51"/>
      <c r="AL70" s="51"/>
      <c r="AM70" s="51"/>
      <c r="AN70" s="51"/>
      <c r="AO70" s="104"/>
      <c r="AP70" s="105"/>
    </row>
    <row r="71" spans="1:42" s="32" customFormat="1" ht="16.5" hidden="1" customHeight="1" x14ac:dyDescent="0.25">
      <c r="A71" s="102"/>
      <c r="B71" s="102"/>
      <c r="C71" s="103" t="s">
        <v>10</v>
      </c>
      <c r="D71" s="104"/>
      <c r="E71" s="105"/>
      <c r="F71" s="1">
        <v>30</v>
      </c>
      <c r="G71" s="1">
        <v>1</v>
      </c>
      <c r="H71" s="1">
        <v>2</v>
      </c>
      <c r="I71" s="1">
        <v>3</v>
      </c>
      <c r="J71" s="1">
        <v>4</v>
      </c>
      <c r="K71" s="33">
        <v>5</v>
      </c>
      <c r="L71" s="33">
        <v>6</v>
      </c>
      <c r="M71" s="1">
        <v>7</v>
      </c>
      <c r="N71" s="1">
        <v>8</v>
      </c>
      <c r="O71" s="1">
        <v>9</v>
      </c>
      <c r="P71" s="1">
        <v>10</v>
      </c>
      <c r="Q71" s="1">
        <v>11</v>
      </c>
      <c r="R71" s="33">
        <v>12</v>
      </c>
      <c r="S71" s="33">
        <v>13</v>
      </c>
      <c r="T71" s="1">
        <v>14</v>
      </c>
      <c r="U71" s="1">
        <v>15</v>
      </c>
      <c r="V71" s="1">
        <v>16</v>
      </c>
      <c r="W71" s="1">
        <v>17</v>
      </c>
      <c r="X71" s="1">
        <v>18</v>
      </c>
      <c r="Y71" s="33">
        <v>19</v>
      </c>
      <c r="Z71" s="33">
        <v>20</v>
      </c>
      <c r="AA71" s="1">
        <v>21</v>
      </c>
      <c r="AB71" s="1">
        <v>22</v>
      </c>
      <c r="AC71" s="1">
        <v>23</v>
      </c>
      <c r="AD71" s="1">
        <v>24</v>
      </c>
      <c r="AE71" s="1">
        <v>25</v>
      </c>
      <c r="AF71" s="1">
        <v>26</v>
      </c>
      <c r="AG71" s="1">
        <v>27</v>
      </c>
      <c r="AH71" s="1"/>
      <c r="AI71" s="1"/>
      <c r="AJ71" s="1"/>
      <c r="AK71" s="1"/>
      <c r="AL71" s="1"/>
      <c r="AM71" s="1"/>
      <c r="AN71" s="1"/>
      <c r="AO71" s="42">
        <v>29</v>
      </c>
      <c r="AP71" s="60">
        <v>30</v>
      </c>
    </row>
    <row r="72" spans="1:42" s="32" customFormat="1" ht="16.5" hidden="1" customHeight="1" x14ac:dyDescent="0.25">
      <c r="A72" s="102"/>
      <c r="B72" s="102"/>
      <c r="C72" s="1" t="s">
        <v>6</v>
      </c>
      <c r="D72" s="1" t="s">
        <v>19</v>
      </c>
      <c r="E72" s="1" t="s">
        <v>18</v>
      </c>
      <c r="F72" s="1">
        <v>2</v>
      </c>
      <c r="G72" s="1">
        <v>3</v>
      </c>
      <c r="H72" s="1">
        <v>4</v>
      </c>
      <c r="I72" s="1">
        <v>5</v>
      </c>
      <c r="J72" s="1">
        <v>6</v>
      </c>
      <c r="K72" s="33">
        <v>7</v>
      </c>
      <c r="L72" s="33" t="s">
        <v>7</v>
      </c>
      <c r="M72" s="1">
        <v>2</v>
      </c>
      <c r="N72" s="1">
        <v>3</v>
      </c>
      <c r="O72" s="1">
        <v>4</v>
      </c>
      <c r="P72" s="1">
        <v>5</v>
      </c>
      <c r="Q72" s="1">
        <v>6</v>
      </c>
      <c r="R72" s="33">
        <v>7</v>
      </c>
      <c r="S72" s="33" t="s">
        <v>7</v>
      </c>
      <c r="T72" s="1">
        <v>2</v>
      </c>
      <c r="U72" s="1">
        <v>3</v>
      </c>
      <c r="V72" s="1">
        <v>4</v>
      </c>
      <c r="W72" s="1">
        <v>5</v>
      </c>
      <c r="X72" s="1">
        <v>6</v>
      </c>
      <c r="Y72" s="33">
        <v>7</v>
      </c>
      <c r="Z72" s="33" t="s">
        <v>7</v>
      </c>
      <c r="AA72" s="1">
        <v>2</v>
      </c>
      <c r="AB72" s="1">
        <v>3</v>
      </c>
      <c r="AC72" s="1">
        <v>4</v>
      </c>
      <c r="AD72" s="1">
        <v>5</v>
      </c>
      <c r="AE72" s="1">
        <v>6</v>
      </c>
      <c r="AF72" s="33">
        <v>7</v>
      </c>
      <c r="AG72" s="33" t="s">
        <v>7</v>
      </c>
      <c r="AH72" s="1"/>
      <c r="AI72" s="1"/>
      <c r="AJ72" s="1"/>
      <c r="AK72" s="1"/>
      <c r="AL72" s="1"/>
      <c r="AM72" s="33"/>
      <c r="AN72" s="33"/>
      <c r="AO72" s="42">
        <v>3</v>
      </c>
      <c r="AP72" s="60">
        <v>4</v>
      </c>
    </row>
    <row r="73" spans="1:42" s="32" customFormat="1" ht="16.5" hidden="1" customHeight="1" x14ac:dyDescent="0.25">
      <c r="A73" s="99" t="s">
        <v>90</v>
      </c>
      <c r="B73" s="34" t="s">
        <v>26</v>
      </c>
      <c r="C73" s="35" t="s">
        <v>30</v>
      </c>
      <c r="D73" s="36" t="s">
        <v>85</v>
      </c>
      <c r="E73" s="2" t="s">
        <v>15</v>
      </c>
      <c r="F73" s="1">
        <v>4</v>
      </c>
      <c r="G73" s="1">
        <v>4</v>
      </c>
      <c r="H73" s="1"/>
      <c r="I73" s="1"/>
      <c r="J73" s="1"/>
      <c r="K73" s="34"/>
      <c r="L73" s="34"/>
      <c r="M73" s="34">
        <v>4</v>
      </c>
      <c r="N73" s="34"/>
      <c r="O73" s="34"/>
      <c r="P73" s="34"/>
      <c r="Q73" s="34"/>
      <c r="R73" s="34"/>
      <c r="S73" s="34"/>
      <c r="T73" s="34">
        <v>4</v>
      </c>
      <c r="U73" s="34">
        <v>4</v>
      </c>
      <c r="V73" s="34"/>
      <c r="W73" s="34"/>
      <c r="X73" s="34"/>
      <c r="Y73" s="34"/>
      <c r="Z73" s="34"/>
      <c r="AA73" s="34">
        <v>4</v>
      </c>
      <c r="AB73" s="34">
        <v>4</v>
      </c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42">
        <v>4</v>
      </c>
      <c r="AP73" s="60"/>
    </row>
    <row r="74" spans="1:42" s="32" customFormat="1" ht="16.5" hidden="1" customHeight="1" x14ac:dyDescent="0.25">
      <c r="A74" s="100"/>
      <c r="B74" s="38" t="s">
        <v>31</v>
      </c>
      <c r="C74" s="35" t="s">
        <v>32</v>
      </c>
      <c r="D74" s="36" t="s">
        <v>85</v>
      </c>
      <c r="E74" s="2" t="s">
        <v>15</v>
      </c>
      <c r="F74" s="1"/>
      <c r="G74" s="1"/>
      <c r="H74" s="1"/>
      <c r="I74" s="1"/>
      <c r="J74" s="1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42"/>
      <c r="AP74" s="60"/>
    </row>
    <row r="75" spans="1:42" s="32" customFormat="1" ht="16.5" hidden="1" customHeight="1" x14ac:dyDescent="0.25">
      <c r="A75" s="100"/>
      <c r="B75" s="38" t="s">
        <v>35</v>
      </c>
      <c r="C75" s="35" t="s">
        <v>36</v>
      </c>
      <c r="D75" s="36" t="s">
        <v>85</v>
      </c>
      <c r="E75" s="2" t="s">
        <v>15</v>
      </c>
      <c r="F75" s="1"/>
      <c r="G75" s="1"/>
      <c r="H75" s="1"/>
      <c r="I75" s="1"/>
      <c r="J75" s="1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42"/>
      <c r="AP75" s="60"/>
    </row>
    <row r="76" spans="1:42" s="32" customFormat="1" ht="16.5" hidden="1" customHeight="1" x14ac:dyDescent="0.25">
      <c r="A76" s="101"/>
      <c r="B76" s="34" t="s">
        <v>26</v>
      </c>
      <c r="C76" s="35" t="s">
        <v>27</v>
      </c>
      <c r="D76" s="36" t="s">
        <v>85</v>
      </c>
      <c r="E76" s="2" t="s">
        <v>37</v>
      </c>
      <c r="F76" s="1">
        <v>1</v>
      </c>
      <c r="G76" s="1"/>
      <c r="H76" s="1"/>
      <c r="I76" s="1"/>
      <c r="J76" s="1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42"/>
      <c r="AP76" s="60"/>
    </row>
    <row r="77" spans="1:42" s="32" customFormat="1" ht="16.5" hidden="1" customHeight="1" x14ac:dyDescent="0.25">
      <c r="A77" s="99" t="s">
        <v>89</v>
      </c>
      <c r="B77" s="34" t="s">
        <v>26</v>
      </c>
      <c r="C77" s="35" t="s">
        <v>30</v>
      </c>
      <c r="D77" s="36" t="s">
        <v>85</v>
      </c>
      <c r="E77" s="2" t="s">
        <v>15</v>
      </c>
      <c r="F77" s="1">
        <v>4</v>
      </c>
      <c r="G77" s="1">
        <v>4</v>
      </c>
      <c r="H77" s="1"/>
      <c r="I77" s="1"/>
      <c r="J77" s="1"/>
      <c r="K77" s="34"/>
      <c r="L77" s="34"/>
      <c r="M77" s="34">
        <v>4</v>
      </c>
      <c r="N77" s="34"/>
      <c r="O77" s="34"/>
      <c r="P77" s="34"/>
      <c r="Q77" s="34"/>
      <c r="R77" s="34"/>
      <c r="S77" s="34"/>
      <c r="T77" s="34">
        <v>4</v>
      </c>
      <c r="U77" s="34">
        <v>4</v>
      </c>
      <c r="V77" s="34"/>
      <c r="W77" s="34"/>
      <c r="X77" s="34"/>
      <c r="Y77" s="34"/>
      <c r="Z77" s="34"/>
      <c r="AA77" s="34">
        <v>4</v>
      </c>
      <c r="AB77" s="34">
        <v>4</v>
      </c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42">
        <v>4</v>
      </c>
      <c r="AP77" s="60"/>
    </row>
    <row r="78" spans="1:42" s="32" customFormat="1" ht="16.5" hidden="1" customHeight="1" x14ac:dyDescent="0.25">
      <c r="A78" s="100"/>
      <c r="B78" s="38" t="s">
        <v>31</v>
      </c>
      <c r="C78" s="35" t="s">
        <v>32</v>
      </c>
      <c r="D78" s="36" t="s">
        <v>85</v>
      </c>
      <c r="E78" s="2" t="s">
        <v>15</v>
      </c>
      <c r="F78" s="1"/>
      <c r="G78" s="1"/>
      <c r="H78" s="1"/>
      <c r="I78" s="1"/>
      <c r="J78" s="1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42"/>
      <c r="AP78" s="60"/>
    </row>
    <row r="79" spans="1:42" s="32" customFormat="1" ht="16.5" hidden="1" customHeight="1" x14ac:dyDescent="0.25">
      <c r="A79" s="100"/>
      <c r="B79" s="38" t="s">
        <v>33</v>
      </c>
      <c r="C79" s="35" t="s">
        <v>34</v>
      </c>
      <c r="D79" s="36" t="s">
        <v>92</v>
      </c>
      <c r="E79" s="2" t="s">
        <v>15</v>
      </c>
      <c r="F79" s="1"/>
      <c r="G79" s="1"/>
      <c r="H79" s="1"/>
      <c r="I79" s="1"/>
      <c r="J79" s="1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42"/>
      <c r="AP79" s="60"/>
    </row>
    <row r="80" spans="1:42" s="32" customFormat="1" ht="16.5" hidden="1" customHeight="1" x14ac:dyDescent="0.25">
      <c r="A80" s="101"/>
      <c r="B80" s="34" t="s">
        <v>26</v>
      </c>
      <c r="C80" s="35" t="s">
        <v>27</v>
      </c>
      <c r="D80" s="36" t="s">
        <v>85</v>
      </c>
      <c r="E80" s="2" t="s">
        <v>37</v>
      </c>
      <c r="F80" s="1">
        <v>1</v>
      </c>
      <c r="G80" s="1"/>
      <c r="H80" s="1"/>
      <c r="I80" s="1"/>
      <c r="J80" s="1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42"/>
      <c r="AP80" s="60"/>
    </row>
    <row r="81" spans="1:42" s="32" customFormat="1" ht="16.5" hidden="1" customHeight="1" x14ac:dyDescent="0.25">
      <c r="A81" s="31"/>
      <c r="B81" s="31"/>
      <c r="C81" s="1"/>
      <c r="D81" s="1"/>
      <c r="E81" s="1"/>
      <c r="F81" s="1"/>
      <c r="G81" s="1"/>
      <c r="H81" s="1"/>
      <c r="I81" s="1"/>
      <c r="J81" s="1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42"/>
      <c r="AP81" s="60"/>
    </row>
    <row r="82" spans="1:42" s="32" customFormat="1" ht="16.5" hidden="1" customHeight="1" x14ac:dyDescent="0.25">
      <c r="A82" s="31"/>
      <c r="B82" s="31"/>
      <c r="C82" s="1"/>
      <c r="D82" s="1"/>
      <c r="E82" s="1"/>
      <c r="F82" s="1"/>
      <c r="G82" s="1"/>
      <c r="H82" s="1"/>
      <c r="I82" s="1"/>
      <c r="J82" s="1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42"/>
      <c r="AP82" s="60"/>
    </row>
    <row r="83" spans="1:42" s="32" customFormat="1" ht="16.5" hidden="1" customHeight="1" x14ac:dyDescent="0.25">
      <c r="A83" s="31"/>
      <c r="B83" s="31"/>
      <c r="C83" s="1"/>
      <c r="D83" s="1"/>
      <c r="E83" s="1"/>
      <c r="F83" s="1"/>
      <c r="G83" s="1"/>
      <c r="H83" s="1"/>
      <c r="I83" s="1"/>
      <c r="J83" s="1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42"/>
      <c r="AP83" s="60"/>
    </row>
    <row r="84" spans="1:42" s="32" customFormat="1" ht="16.5" hidden="1" customHeight="1" x14ac:dyDescent="0.25">
      <c r="A84" s="31"/>
      <c r="B84" s="31"/>
      <c r="C84" s="1"/>
      <c r="D84" s="1"/>
      <c r="E84" s="1"/>
      <c r="F84" s="1"/>
      <c r="G84" s="1"/>
      <c r="H84" s="1"/>
      <c r="I84" s="1"/>
      <c r="J84" s="1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42"/>
      <c r="AP84" s="60"/>
    </row>
    <row r="85" spans="1:42" s="32" customFormat="1" ht="16.5" hidden="1" customHeight="1" x14ac:dyDescent="0.25">
      <c r="A85" s="31"/>
      <c r="B85" s="31"/>
      <c r="C85" s="1"/>
      <c r="D85" s="1"/>
      <c r="E85" s="1"/>
      <c r="F85" s="1"/>
      <c r="G85" s="1"/>
      <c r="H85" s="1"/>
      <c r="I85" s="1"/>
      <c r="J85" s="1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42"/>
      <c r="AP85" s="60"/>
    </row>
    <row r="86" spans="1:42" s="32" customFormat="1" ht="16.5" hidden="1" customHeight="1" x14ac:dyDescent="0.25">
      <c r="A86" s="31"/>
      <c r="B86" s="31"/>
      <c r="C86" s="1"/>
      <c r="D86" s="1"/>
      <c r="E86" s="1"/>
      <c r="F86" s="1"/>
      <c r="G86" s="1"/>
      <c r="H86" s="1"/>
      <c r="I86" s="1"/>
      <c r="J86" s="1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42"/>
      <c r="AP86" s="60"/>
    </row>
    <row r="87" spans="1:42" s="32" customFormat="1" ht="16.5" hidden="1" customHeight="1" x14ac:dyDescent="0.25">
      <c r="A87" s="31"/>
      <c r="B87" s="31"/>
      <c r="C87" s="1"/>
      <c r="D87" s="1"/>
      <c r="E87" s="1"/>
      <c r="F87" s="1"/>
      <c r="G87" s="1"/>
      <c r="H87" s="1"/>
      <c r="I87" s="1"/>
      <c r="J87" s="1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42"/>
      <c r="AP87" s="60"/>
    </row>
    <row r="88" spans="1:42" s="32" customFormat="1" ht="16.5" hidden="1" customHeight="1" x14ac:dyDescent="0.25">
      <c r="A88" s="31"/>
      <c r="B88" s="31"/>
      <c r="C88" s="1"/>
      <c r="D88" s="1"/>
      <c r="E88" s="1"/>
      <c r="F88" s="1"/>
      <c r="G88" s="1"/>
      <c r="H88" s="1"/>
      <c r="I88" s="1"/>
      <c r="J88" s="1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42"/>
      <c r="AP88" s="60"/>
    </row>
    <row r="89" spans="1:42" s="32" customFormat="1" ht="16.5" hidden="1" customHeight="1" x14ac:dyDescent="0.25">
      <c r="A89" s="31"/>
      <c r="B89" s="31"/>
      <c r="C89" s="1"/>
      <c r="D89" s="1"/>
      <c r="E89" s="1"/>
      <c r="F89" s="1"/>
      <c r="G89" s="1"/>
      <c r="H89" s="1"/>
      <c r="I89" s="1"/>
      <c r="J89" s="1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42"/>
      <c r="AP89" s="60"/>
    </row>
    <row r="90" spans="1:42" s="32" customFormat="1" ht="16.5" hidden="1" customHeight="1" x14ac:dyDescent="0.25">
      <c r="A90" s="31"/>
      <c r="B90" s="31"/>
      <c r="C90" s="1"/>
      <c r="D90" s="1"/>
      <c r="E90" s="1"/>
      <c r="F90" s="1"/>
      <c r="G90" s="1"/>
      <c r="H90" s="1"/>
      <c r="I90" s="1"/>
      <c r="J90" s="1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42"/>
      <c r="AP90" s="60"/>
    </row>
    <row r="91" spans="1:42" s="32" customFormat="1" ht="16.5" hidden="1" customHeight="1" x14ac:dyDescent="0.25">
      <c r="A91" s="31"/>
      <c r="B91" s="31"/>
      <c r="C91" s="1"/>
      <c r="D91" s="1"/>
      <c r="E91" s="1"/>
      <c r="F91" s="1"/>
      <c r="G91" s="1"/>
      <c r="H91" s="1"/>
      <c r="I91" s="1"/>
      <c r="J91" s="1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42"/>
      <c r="AP91" s="60"/>
    </row>
    <row r="92" spans="1:42" s="32" customFormat="1" ht="16.5" hidden="1" customHeight="1" x14ac:dyDescent="0.25">
      <c r="A92" s="31"/>
      <c r="B92" s="31"/>
      <c r="C92" s="1"/>
      <c r="D92" s="1"/>
      <c r="E92" s="1"/>
      <c r="F92" s="1"/>
      <c r="G92" s="1"/>
      <c r="H92" s="1"/>
      <c r="I92" s="1"/>
      <c r="J92" s="1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42"/>
      <c r="AP92" s="60"/>
    </row>
    <row r="93" spans="1:42" s="32" customFormat="1" ht="16.5" hidden="1" customHeight="1" x14ac:dyDescent="0.25">
      <c r="A93" s="31"/>
      <c r="B93" s="31"/>
      <c r="C93" s="1"/>
      <c r="D93" s="1"/>
      <c r="E93" s="1"/>
      <c r="F93" s="1"/>
      <c r="G93" s="1"/>
      <c r="H93" s="1"/>
      <c r="I93" s="1"/>
      <c r="J93" s="1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42"/>
      <c r="AP93" s="60"/>
    </row>
    <row r="94" spans="1:42" s="32" customFormat="1" ht="16.5" hidden="1" customHeight="1" x14ac:dyDescent="0.25">
      <c r="A94" s="40"/>
      <c r="B94" s="38"/>
      <c r="C94" s="40"/>
      <c r="D94" s="36"/>
      <c r="E94" s="2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2"/>
      <c r="AP94" s="56"/>
    </row>
    <row r="95" spans="1:42" s="32" customFormat="1" ht="16.5" hidden="1" customHeight="1" x14ac:dyDescent="0.25">
      <c r="A95" s="40"/>
      <c r="B95" s="38"/>
      <c r="C95" s="35"/>
      <c r="D95" s="36"/>
      <c r="E95" s="2"/>
      <c r="F95" s="34"/>
      <c r="G95" s="34"/>
      <c r="H95" s="34"/>
      <c r="I95" s="34"/>
      <c r="J95" s="34"/>
      <c r="K95" s="34"/>
      <c r="L95" s="34"/>
      <c r="M95" s="34" t="s">
        <v>9</v>
      </c>
      <c r="N95" s="34"/>
      <c r="O95" s="34"/>
      <c r="P95" s="34"/>
      <c r="Q95" s="34"/>
      <c r="R95" s="34"/>
      <c r="S95" s="34"/>
      <c r="T95" s="34" t="s">
        <v>9</v>
      </c>
      <c r="U95" s="34"/>
      <c r="V95" s="34"/>
      <c r="W95" s="34"/>
      <c r="X95" s="34"/>
      <c r="Y95" s="34"/>
      <c r="Z95" s="34"/>
      <c r="AA95" s="34" t="s">
        <v>9</v>
      </c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2"/>
      <c r="AP95" s="56" t="s">
        <v>9</v>
      </c>
    </row>
    <row r="96" spans="1:42" hidden="1" x14ac:dyDescent="0.3"/>
    <row r="97" spans="2:42" hidden="1" x14ac:dyDescent="0.3">
      <c r="AB97" s="39" t="s">
        <v>21</v>
      </c>
    </row>
    <row r="98" spans="2:42" s="29" customFormat="1" ht="18" hidden="1" customHeight="1" x14ac:dyDescent="0.3">
      <c r="B98" s="110" t="s">
        <v>12</v>
      </c>
      <c r="C98" s="110"/>
      <c r="D98" s="5"/>
      <c r="E98" s="5"/>
      <c r="I98" s="97" t="s">
        <v>13</v>
      </c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AC98" s="5" t="s">
        <v>14</v>
      </c>
      <c r="AO98" s="4"/>
      <c r="AP98" s="55"/>
    </row>
    <row r="99" spans="2:42" hidden="1" x14ac:dyDescent="0.3">
      <c r="AB99" s="29"/>
    </row>
    <row r="100" spans="2:42" hidden="1" x14ac:dyDescent="0.3"/>
    <row r="101" spans="2:42" hidden="1" x14ac:dyDescent="0.3"/>
    <row r="102" spans="2:42" hidden="1" x14ac:dyDescent="0.3"/>
    <row r="103" spans="2:42" hidden="1" x14ac:dyDescent="0.3"/>
    <row r="104" spans="2:42" hidden="1" x14ac:dyDescent="0.3">
      <c r="K104" s="97" t="s">
        <v>23</v>
      </c>
      <c r="L104" s="97"/>
      <c r="M104" s="97"/>
      <c r="N104" s="97"/>
      <c r="O104" s="97"/>
      <c r="P104" s="97"/>
      <c r="Q104" s="97"/>
      <c r="R104" s="97"/>
      <c r="AA104" s="29" t="s">
        <v>22</v>
      </c>
    </row>
  </sheetData>
  <mergeCells count="66">
    <mergeCell ref="K104:R104"/>
    <mergeCell ref="AA70:AG70"/>
    <mergeCell ref="AO70:AP70"/>
    <mergeCell ref="A68:AP68"/>
    <mergeCell ref="B53:B54"/>
    <mergeCell ref="C53:C54"/>
    <mergeCell ref="AO53:AO54"/>
    <mergeCell ref="AP53:AP54"/>
    <mergeCell ref="A64:D64"/>
    <mergeCell ref="A65:D65"/>
    <mergeCell ref="A77:A80"/>
    <mergeCell ref="B98:C98"/>
    <mergeCell ref="I98:T98"/>
    <mergeCell ref="A70:A72"/>
    <mergeCell ref="B70:B72"/>
    <mergeCell ref="C70:E70"/>
    <mergeCell ref="F70:L70"/>
    <mergeCell ref="M70:S70"/>
    <mergeCell ref="T70:Z70"/>
    <mergeCell ref="C71:E71"/>
    <mergeCell ref="A73:A76"/>
    <mergeCell ref="L65:AG65"/>
    <mergeCell ref="A67:AP67"/>
    <mergeCell ref="B49:B50"/>
    <mergeCell ref="C49:C50"/>
    <mergeCell ref="AO49:AO50"/>
    <mergeCell ref="AP49:AP50"/>
    <mergeCell ref="A49:A50"/>
    <mergeCell ref="D49:D50"/>
    <mergeCell ref="B56:C56"/>
    <mergeCell ref="A51:A54"/>
    <mergeCell ref="B51:B52"/>
    <mergeCell ref="AO51:AO52"/>
    <mergeCell ref="AP51:AP52"/>
    <mergeCell ref="D51:D54"/>
    <mergeCell ref="C51:C52"/>
    <mergeCell ref="A27:A32"/>
    <mergeCell ref="A33:A38"/>
    <mergeCell ref="A39:A45"/>
    <mergeCell ref="AP46:AP47"/>
    <mergeCell ref="A20:A23"/>
    <mergeCell ref="A24:A26"/>
    <mergeCell ref="A46:A47"/>
    <mergeCell ref="B46:B47"/>
    <mergeCell ref="C46:C47"/>
    <mergeCell ref="D46:D47"/>
    <mergeCell ref="AO46:AO47"/>
    <mergeCell ref="AA7:AG7"/>
    <mergeCell ref="AO7:AO9"/>
    <mergeCell ref="AP7:AP9"/>
    <mergeCell ref="C8:E8"/>
    <mergeCell ref="F7:L7"/>
    <mergeCell ref="M7:S7"/>
    <mergeCell ref="T7:Z7"/>
    <mergeCell ref="AH7:AN7"/>
    <mergeCell ref="A10:A15"/>
    <mergeCell ref="A16:A19"/>
    <mergeCell ref="A7:A9"/>
    <mergeCell ref="B7:B9"/>
    <mergeCell ref="C7:E7"/>
    <mergeCell ref="A5:AP5"/>
    <mergeCell ref="A1:D1"/>
    <mergeCell ref="L1:AF1"/>
    <mergeCell ref="A2:D2"/>
    <mergeCell ref="L2:AF2"/>
    <mergeCell ref="A4:AP4"/>
  </mergeCells>
  <pageMargins left="0.2" right="0.1" top="0.511811023622047" bottom="0.511811023622047" header="0.31496062992126" footer="0.31496062992126"/>
  <pageSetup paperSize="9" scale="86" orientation="landscape" verticalDpi="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AEEE-A2C7-4A34-8034-E5F0271C9448}">
  <dimension ref="A1:AP107"/>
  <sheetViews>
    <sheetView topLeftCell="A41" zoomScale="118" zoomScaleNormal="118" workbookViewId="0">
      <selection activeCell="AI27" sqref="AI27"/>
    </sheetView>
  </sheetViews>
  <sheetFormatPr defaultRowHeight="18.75" x14ac:dyDescent="0.3"/>
  <cols>
    <col min="1" max="1" width="10.6640625" style="30" customWidth="1"/>
    <col min="2" max="2" width="15.21875" style="30" customWidth="1"/>
    <col min="3" max="3" width="15" style="30" customWidth="1"/>
    <col min="4" max="4" width="7.44140625" style="4" customWidth="1"/>
    <col min="5" max="5" width="5.6640625" style="4" customWidth="1"/>
    <col min="6" max="10" width="2.33203125" style="30" customWidth="1"/>
    <col min="11" max="11" width="2.21875" style="30" customWidth="1"/>
    <col min="12" max="33" width="2.33203125" style="30" customWidth="1"/>
    <col min="34" max="34" width="3.6640625" style="4" customWidth="1"/>
    <col min="35" max="35" width="5.44140625" style="55" customWidth="1"/>
    <col min="36" max="16384" width="8.88671875" style="30"/>
  </cols>
  <sheetData>
    <row r="1" spans="1:36" s="27" customFormat="1" ht="18" customHeight="1" x14ac:dyDescent="0.25">
      <c r="A1" s="98" t="s">
        <v>96</v>
      </c>
      <c r="B1" s="98"/>
      <c r="C1" s="98"/>
      <c r="D1" s="98"/>
      <c r="E1" s="3"/>
      <c r="L1" s="121" t="s">
        <v>1</v>
      </c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28"/>
      <c r="AH1" s="43"/>
      <c r="AI1" s="55"/>
    </row>
    <row r="2" spans="1:36" s="27" customFormat="1" ht="16.5" customHeight="1" x14ac:dyDescent="0.3">
      <c r="A2" s="97" t="s">
        <v>106</v>
      </c>
      <c r="B2" s="97"/>
      <c r="C2" s="97"/>
      <c r="D2" s="97"/>
      <c r="E2" s="3"/>
      <c r="L2" s="97" t="s">
        <v>3</v>
      </c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29"/>
      <c r="AH2" s="43"/>
      <c r="AI2" s="55"/>
    </row>
    <row r="3" spans="1:36" ht="12" customHeight="1" x14ac:dyDescent="0.3"/>
    <row r="4" spans="1:36" ht="18.75" customHeight="1" x14ac:dyDescent="0.3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</row>
    <row r="5" spans="1:36" ht="16.5" customHeight="1" x14ac:dyDescent="0.3">
      <c r="A5" s="97" t="s">
        <v>169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</row>
    <row r="6" spans="1:36" ht="1.5" customHeight="1" x14ac:dyDescent="0.3"/>
    <row r="7" spans="1:36" s="32" customFormat="1" ht="16.5" customHeight="1" x14ac:dyDescent="0.25">
      <c r="A7" s="102" t="s">
        <v>4</v>
      </c>
      <c r="B7" s="102" t="s">
        <v>6</v>
      </c>
      <c r="C7" s="106" t="s">
        <v>11</v>
      </c>
      <c r="D7" s="106"/>
      <c r="E7" s="106"/>
      <c r="F7" s="106">
        <v>1</v>
      </c>
      <c r="G7" s="106"/>
      <c r="H7" s="106"/>
      <c r="I7" s="106"/>
      <c r="J7" s="106"/>
      <c r="K7" s="106"/>
      <c r="L7" s="106"/>
      <c r="M7" s="106">
        <v>2</v>
      </c>
      <c r="N7" s="106"/>
      <c r="O7" s="106"/>
      <c r="P7" s="106"/>
      <c r="Q7" s="106"/>
      <c r="R7" s="106"/>
      <c r="S7" s="106"/>
      <c r="T7" s="106">
        <v>3</v>
      </c>
      <c r="U7" s="106"/>
      <c r="V7" s="106"/>
      <c r="W7" s="106"/>
      <c r="X7" s="106"/>
      <c r="Y7" s="106"/>
      <c r="Z7" s="106"/>
      <c r="AA7" s="106">
        <v>4</v>
      </c>
      <c r="AB7" s="106"/>
      <c r="AC7" s="106"/>
      <c r="AD7" s="106"/>
      <c r="AE7" s="106"/>
      <c r="AF7" s="106"/>
      <c r="AG7" s="106"/>
      <c r="AH7" s="119" t="s">
        <v>8</v>
      </c>
      <c r="AI7" s="120" t="s">
        <v>41</v>
      </c>
    </row>
    <row r="8" spans="1:36" s="32" customFormat="1" ht="16.5" customHeight="1" x14ac:dyDescent="0.25">
      <c r="A8" s="102"/>
      <c r="B8" s="102"/>
      <c r="C8" s="106" t="s">
        <v>10</v>
      </c>
      <c r="D8" s="106"/>
      <c r="E8" s="106"/>
      <c r="F8" s="1">
        <v>5</v>
      </c>
      <c r="G8" s="1">
        <v>6</v>
      </c>
      <c r="H8" s="1">
        <v>7</v>
      </c>
      <c r="I8" s="1">
        <v>8</v>
      </c>
      <c r="J8" s="1">
        <v>9</v>
      </c>
      <c r="K8" s="33">
        <v>10</v>
      </c>
      <c r="L8" s="33">
        <v>11</v>
      </c>
      <c r="M8" s="1">
        <v>12</v>
      </c>
      <c r="N8" s="1">
        <v>13</v>
      </c>
      <c r="O8" s="1">
        <v>14</v>
      </c>
      <c r="P8" s="1">
        <v>15</v>
      </c>
      <c r="Q8" s="1">
        <v>16</v>
      </c>
      <c r="R8" s="33">
        <v>17</v>
      </c>
      <c r="S8" s="33">
        <v>18</v>
      </c>
      <c r="T8" s="1">
        <v>19</v>
      </c>
      <c r="U8" s="1">
        <v>20</v>
      </c>
      <c r="V8" s="1">
        <v>21</v>
      </c>
      <c r="W8" s="1">
        <v>22</v>
      </c>
      <c r="X8" s="1">
        <v>23</v>
      </c>
      <c r="Y8" s="33">
        <v>24</v>
      </c>
      <c r="Z8" s="33">
        <v>25</v>
      </c>
      <c r="AA8" s="1">
        <v>26</v>
      </c>
      <c r="AB8" s="1">
        <v>27</v>
      </c>
      <c r="AC8" s="1">
        <v>28</v>
      </c>
      <c r="AD8" s="1">
        <v>29</v>
      </c>
      <c r="AE8" s="1">
        <v>30</v>
      </c>
      <c r="AF8" s="33">
        <v>31</v>
      </c>
      <c r="AG8" s="33">
        <v>1</v>
      </c>
      <c r="AH8" s="119"/>
      <c r="AI8" s="120"/>
    </row>
    <row r="9" spans="1:36" s="32" customFormat="1" ht="16.5" customHeight="1" x14ac:dyDescent="0.25">
      <c r="A9" s="102"/>
      <c r="B9" s="102"/>
      <c r="C9" s="1" t="s">
        <v>5</v>
      </c>
      <c r="D9" s="1" t="s">
        <v>19</v>
      </c>
      <c r="E9" s="1" t="s">
        <v>18</v>
      </c>
      <c r="F9" s="1">
        <v>2</v>
      </c>
      <c r="G9" s="1">
        <v>3</v>
      </c>
      <c r="H9" s="1">
        <v>4</v>
      </c>
      <c r="I9" s="1">
        <v>5</v>
      </c>
      <c r="J9" s="1">
        <v>6</v>
      </c>
      <c r="K9" s="33">
        <v>7</v>
      </c>
      <c r="L9" s="33" t="s">
        <v>7</v>
      </c>
      <c r="M9" s="1">
        <v>2</v>
      </c>
      <c r="N9" s="1">
        <v>3</v>
      </c>
      <c r="O9" s="1">
        <v>4</v>
      </c>
      <c r="P9" s="1">
        <v>5</v>
      </c>
      <c r="Q9" s="1">
        <v>6</v>
      </c>
      <c r="R9" s="33">
        <v>7</v>
      </c>
      <c r="S9" s="33" t="s">
        <v>7</v>
      </c>
      <c r="T9" s="1">
        <v>2</v>
      </c>
      <c r="U9" s="1">
        <v>3</v>
      </c>
      <c r="V9" s="1">
        <v>4</v>
      </c>
      <c r="W9" s="1">
        <v>5</v>
      </c>
      <c r="X9" s="1">
        <v>6</v>
      </c>
      <c r="Y9" s="33">
        <v>7</v>
      </c>
      <c r="Z9" s="33" t="s">
        <v>7</v>
      </c>
      <c r="AA9" s="1">
        <v>2</v>
      </c>
      <c r="AB9" s="1">
        <v>3</v>
      </c>
      <c r="AC9" s="1">
        <v>4</v>
      </c>
      <c r="AD9" s="1">
        <v>5</v>
      </c>
      <c r="AE9" s="1">
        <v>6</v>
      </c>
      <c r="AF9" s="33">
        <v>7</v>
      </c>
      <c r="AG9" s="33" t="s">
        <v>7</v>
      </c>
      <c r="AH9" s="119"/>
      <c r="AI9" s="120"/>
    </row>
    <row r="10" spans="1:36" s="32" customFormat="1" ht="25.5" customHeight="1" x14ac:dyDescent="0.25">
      <c r="A10" s="99" t="s">
        <v>118</v>
      </c>
      <c r="B10" s="38" t="s">
        <v>125</v>
      </c>
      <c r="C10" s="38" t="s">
        <v>31</v>
      </c>
      <c r="D10" s="36" t="s">
        <v>107</v>
      </c>
      <c r="E10" s="2" t="s">
        <v>16</v>
      </c>
      <c r="F10" s="2">
        <v>4</v>
      </c>
      <c r="G10" s="2"/>
      <c r="H10" s="42"/>
      <c r="I10" s="1"/>
      <c r="J10" s="1"/>
      <c r="K10" s="33"/>
      <c r="L10" s="33"/>
      <c r="M10" s="2">
        <v>4</v>
      </c>
      <c r="N10" s="2"/>
      <c r="O10" s="42"/>
      <c r="P10" s="1"/>
      <c r="Q10" s="1"/>
      <c r="R10" s="33"/>
      <c r="S10" s="33"/>
      <c r="T10" s="2">
        <v>4</v>
      </c>
      <c r="U10" s="2"/>
      <c r="V10" s="42"/>
      <c r="W10" s="1"/>
      <c r="X10" s="1"/>
      <c r="Y10" s="33"/>
      <c r="Z10" s="33"/>
      <c r="AA10" s="2">
        <v>5</v>
      </c>
      <c r="AB10" s="2"/>
      <c r="AC10" s="42"/>
      <c r="AD10" s="1"/>
      <c r="AE10" s="1"/>
      <c r="AF10" s="33"/>
      <c r="AG10" s="33"/>
      <c r="AH10" s="45">
        <f t="shared" ref="AH10:AH42" si="0">SUM(F10:AG10)</f>
        <v>17</v>
      </c>
      <c r="AI10" s="61" t="s">
        <v>108</v>
      </c>
      <c r="AJ10" s="32">
        <f>16+28</f>
        <v>44</v>
      </c>
    </row>
    <row r="11" spans="1:36" s="32" customFormat="1" ht="25.5" customHeight="1" x14ac:dyDescent="0.25">
      <c r="A11" s="100"/>
      <c r="B11" s="38" t="s">
        <v>126</v>
      </c>
      <c r="C11" s="38" t="s">
        <v>31</v>
      </c>
      <c r="D11" s="36" t="s">
        <v>107</v>
      </c>
      <c r="E11" s="2" t="s">
        <v>16</v>
      </c>
      <c r="F11" s="2"/>
      <c r="G11" s="2"/>
      <c r="H11" s="42"/>
      <c r="I11" s="42">
        <v>4</v>
      </c>
      <c r="J11" s="42"/>
      <c r="K11" s="66"/>
      <c r="L11" s="66"/>
      <c r="M11" s="2"/>
      <c r="N11" s="2"/>
      <c r="O11" s="42"/>
      <c r="P11" s="42">
        <v>4</v>
      </c>
      <c r="Q11" s="42"/>
      <c r="R11" s="66"/>
      <c r="S11" s="66"/>
      <c r="T11" s="2"/>
      <c r="U11" s="2"/>
      <c r="V11" s="42"/>
      <c r="W11" s="42">
        <v>4</v>
      </c>
      <c r="X11" s="42"/>
      <c r="Y11" s="66"/>
      <c r="Z11" s="66"/>
      <c r="AA11" s="2"/>
      <c r="AB11" s="2"/>
      <c r="AC11" s="42"/>
      <c r="AD11" s="42">
        <v>5</v>
      </c>
      <c r="AE11" s="42"/>
      <c r="AF11" s="33"/>
      <c r="AG11" s="33"/>
      <c r="AH11" s="45">
        <f t="shared" si="0"/>
        <v>17</v>
      </c>
      <c r="AI11" s="61" t="s">
        <v>108</v>
      </c>
    </row>
    <row r="12" spans="1:36" s="32" customFormat="1" ht="32.25" customHeight="1" x14ac:dyDescent="0.25">
      <c r="A12" s="100"/>
      <c r="B12" s="40" t="s">
        <v>166</v>
      </c>
      <c r="C12" s="38" t="s">
        <v>167</v>
      </c>
      <c r="D12" s="36" t="s">
        <v>115</v>
      </c>
      <c r="E12" s="2" t="s">
        <v>16</v>
      </c>
      <c r="F12" s="2"/>
      <c r="G12" s="2">
        <v>4</v>
      </c>
      <c r="H12" s="44"/>
      <c r="I12" s="44"/>
      <c r="J12" s="31"/>
      <c r="K12" s="54"/>
      <c r="L12" s="54"/>
      <c r="M12" s="2"/>
      <c r="N12" s="2">
        <v>4</v>
      </c>
      <c r="O12" s="44"/>
      <c r="P12" s="44"/>
      <c r="Q12" s="31"/>
      <c r="R12" s="54"/>
      <c r="S12" s="54"/>
      <c r="T12" s="2"/>
      <c r="U12" s="2">
        <v>4</v>
      </c>
      <c r="V12" s="44"/>
      <c r="W12" s="44"/>
      <c r="X12" s="31"/>
      <c r="Y12" s="33"/>
      <c r="Z12" s="33"/>
      <c r="AA12" s="2"/>
      <c r="AB12" s="2">
        <v>4</v>
      </c>
      <c r="AC12" s="44"/>
      <c r="AD12" s="44"/>
      <c r="AE12" s="31"/>
      <c r="AF12" s="33"/>
      <c r="AG12" s="33"/>
      <c r="AH12" s="45">
        <f t="shared" si="0"/>
        <v>16</v>
      </c>
      <c r="AI12" s="56" t="s">
        <v>152</v>
      </c>
    </row>
    <row r="13" spans="1:36" s="32" customFormat="1" ht="25.5" customHeight="1" x14ac:dyDescent="0.25">
      <c r="A13" s="100"/>
      <c r="B13" s="38" t="s">
        <v>93</v>
      </c>
      <c r="C13" s="38" t="s">
        <v>103</v>
      </c>
      <c r="D13" s="36">
        <v>2.4</v>
      </c>
      <c r="E13" s="2" t="s">
        <v>16</v>
      </c>
      <c r="F13" s="2"/>
      <c r="G13" s="2"/>
      <c r="H13" s="2">
        <v>4</v>
      </c>
      <c r="I13" s="1"/>
      <c r="J13" s="1"/>
      <c r="K13" s="33"/>
      <c r="L13" s="33"/>
      <c r="M13" s="2"/>
      <c r="N13" s="2"/>
      <c r="O13" s="2">
        <v>4</v>
      </c>
      <c r="P13" s="1"/>
      <c r="Q13" s="1"/>
      <c r="R13" s="33"/>
      <c r="S13" s="33"/>
      <c r="T13" s="2"/>
      <c r="U13" s="2"/>
      <c r="V13" s="2">
        <v>4</v>
      </c>
      <c r="W13" s="1"/>
      <c r="X13" s="1"/>
      <c r="Y13" s="33"/>
      <c r="Z13" s="33"/>
      <c r="AA13" s="2"/>
      <c r="AB13" s="2"/>
      <c r="AC13" s="2">
        <v>4</v>
      </c>
      <c r="AD13" s="1"/>
      <c r="AE13" s="1"/>
      <c r="AF13" s="33"/>
      <c r="AG13" s="33"/>
      <c r="AH13" s="45">
        <f t="shared" si="0"/>
        <v>16</v>
      </c>
      <c r="AI13" s="57" t="s">
        <v>174</v>
      </c>
      <c r="AJ13" s="32">
        <f>16+24</f>
        <v>40</v>
      </c>
    </row>
    <row r="14" spans="1:36" s="32" customFormat="1" ht="60" customHeight="1" x14ac:dyDescent="0.25">
      <c r="A14" s="100"/>
      <c r="B14" s="40" t="s">
        <v>129</v>
      </c>
      <c r="C14" s="38" t="s">
        <v>31</v>
      </c>
      <c r="D14" s="36" t="s">
        <v>107</v>
      </c>
      <c r="E14" s="2" t="s">
        <v>15</v>
      </c>
      <c r="F14" s="2"/>
      <c r="G14" s="2"/>
      <c r="H14" s="2"/>
      <c r="I14" s="1"/>
      <c r="J14" s="1"/>
      <c r="K14" s="33"/>
      <c r="L14" s="33"/>
      <c r="M14" s="2"/>
      <c r="N14" s="2">
        <v>4</v>
      </c>
      <c r="O14" s="2"/>
      <c r="P14" s="1"/>
      <c r="Q14" s="1"/>
      <c r="R14" s="33"/>
      <c r="S14" s="33"/>
      <c r="T14" s="2"/>
      <c r="U14" s="2">
        <v>4</v>
      </c>
      <c r="V14" s="2"/>
      <c r="W14" s="1"/>
      <c r="X14" s="1"/>
      <c r="Y14" s="33"/>
      <c r="Z14" s="33"/>
      <c r="AA14" s="2"/>
      <c r="AB14" s="2"/>
      <c r="AC14" s="2">
        <v>4</v>
      </c>
      <c r="AD14" s="1"/>
      <c r="AE14" s="1"/>
      <c r="AF14" s="33"/>
      <c r="AG14" s="33"/>
      <c r="AH14" s="45">
        <f t="shared" si="0"/>
        <v>12</v>
      </c>
      <c r="AI14" s="56" t="s">
        <v>175</v>
      </c>
    </row>
    <row r="15" spans="1:36" s="32" customFormat="1" ht="29.25" customHeight="1" x14ac:dyDescent="0.25">
      <c r="A15" s="101"/>
      <c r="B15" s="35" t="s">
        <v>27</v>
      </c>
      <c r="C15" s="38" t="s">
        <v>31</v>
      </c>
      <c r="D15" s="36" t="s">
        <v>107</v>
      </c>
      <c r="E15" s="2" t="s">
        <v>132</v>
      </c>
      <c r="F15" s="31"/>
      <c r="G15" s="1"/>
      <c r="H15" s="1"/>
      <c r="I15" s="1">
        <v>1</v>
      </c>
      <c r="J15" s="1"/>
      <c r="K15" s="33"/>
      <c r="L15" s="33"/>
      <c r="M15" s="1">
        <v>1</v>
      </c>
      <c r="N15" s="1"/>
      <c r="O15" s="1"/>
      <c r="P15" s="1"/>
      <c r="Q15" s="1"/>
      <c r="R15" s="33"/>
      <c r="S15" s="33"/>
      <c r="T15" s="1">
        <v>1</v>
      </c>
      <c r="U15" s="1"/>
      <c r="V15" s="1"/>
      <c r="W15" s="1"/>
      <c r="X15" s="1"/>
      <c r="Y15" s="33"/>
      <c r="Z15" s="33"/>
      <c r="AA15" s="1"/>
      <c r="AB15" s="1"/>
      <c r="AC15" s="1"/>
      <c r="AD15" s="1"/>
      <c r="AE15" s="1"/>
      <c r="AF15" s="33"/>
      <c r="AG15" s="33"/>
      <c r="AH15" s="45">
        <f t="shared" si="0"/>
        <v>3</v>
      </c>
      <c r="AI15" s="56"/>
    </row>
    <row r="16" spans="1:36" s="32" customFormat="1" ht="45.75" customHeight="1" x14ac:dyDescent="0.25">
      <c r="A16" s="99" t="s">
        <v>91</v>
      </c>
      <c r="B16" s="40" t="s">
        <v>147</v>
      </c>
      <c r="C16" s="38" t="s">
        <v>31</v>
      </c>
      <c r="D16" s="36" t="s">
        <v>107</v>
      </c>
      <c r="E16" s="2" t="s">
        <v>15</v>
      </c>
      <c r="F16" s="2">
        <v>4</v>
      </c>
      <c r="G16" s="2"/>
      <c r="H16" s="2"/>
      <c r="I16" s="2"/>
      <c r="J16" s="2"/>
      <c r="K16" s="37"/>
      <c r="L16" s="37"/>
      <c r="M16" s="2">
        <v>4</v>
      </c>
      <c r="N16" s="2"/>
      <c r="O16" s="2"/>
      <c r="P16" s="2"/>
      <c r="Q16" s="2"/>
      <c r="R16" s="37"/>
      <c r="S16" s="37"/>
      <c r="T16" s="2">
        <v>4</v>
      </c>
      <c r="U16" s="2"/>
      <c r="V16" s="2"/>
      <c r="W16" s="2"/>
      <c r="X16" s="2"/>
      <c r="Y16" s="37"/>
      <c r="Z16" s="37"/>
      <c r="AA16" s="2">
        <v>4</v>
      </c>
      <c r="AB16" s="2"/>
      <c r="AC16" s="2"/>
      <c r="AD16" s="2"/>
      <c r="AE16" s="2"/>
      <c r="AF16" s="37"/>
      <c r="AG16" s="37"/>
      <c r="AH16" s="45">
        <f t="shared" si="0"/>
        <v>16</v>
      </c>
      <c r="AI16" s="56" t="s">
        <v>176</v>
      </c>
    </row>
    <row r="17" spans="1:36" s="32" customFormat="1" ht="27.75" customHeight="1" x14ac:dyDescent="0.25">
      <c r="A17" s="100"/>
      <c r="B17" s="38" t="s">
        <v>148</v>
      </c>
      <c r="C17" s="38" t="s">
        <v>31</v>
      </c>
      <c r="D17" s="36" t="s">
        <v>107</v>
      </c>
      <c r="E17" s="2" t="s">
        <v>16</v>
      </c>
      <c r="F17" s="2"/>
      <c r="G17" s="2"/>
      <c r="H17" s="2">
        <v>4</v>
      </c>
      <c r="I17" s="2"/>
      <c r="J17" s="2"/>
      <c r="K17" s="37"/>
      <c r="L17" s="37"/>
      <c r="M17" s="2"/>
      <c r="N17" s="2"/>
      <c r="O17" s="2">
        <v>4</v>
      </c>
      <c r="P17" s="2"/>
      <c r="Q17" s="2"/>
      <c r="R17" s="37"/>
      <c r="S17" s="37"/>
      <c r="T17" s="2"/>
      <c r="U17" s="2"/>
      <c r="V17" s="2">
        <v>4</v>
      </c>
      <c r="W17" s="2"/>
      <c r="X17" s="2"/>
      <c r="Y17" s="37"/>
      <c r="Z17" s="37"/>
      <c r="AA17" s="2"/>
      <c r="AB17" s="2"/>
      <c r="AC17" s="2">
        <v>4</v>
      </c>
      <c r="AD17" s="2"/>
      <c r="AE17" s="2"/>
      <c r="AF17" s="37"/>
      <c r="AG17" s="37"/>
      <c r="AH17" s="45">
        <f t="shared" si="0"/>
        <v>16</v>
      </c>
      <c r="AI17" s="58" t="s">
        <v>177</v>
      </c>
      <c r="AJ17" s="32">
        <f>16+16</f>
        <v>32</v>
      </c>
    </row>
    <row r="18" spans="1:36" s="32" customFormat="1" ht="27.75" customHeight="1" x14ac:dyDescent="0.25">
      <c r="A18" s="100"/>
      <c r="B18" s="38" t="s">
        <v>126</v>
      </c>
      <c r="C18" s="38" t="s">
        <v>31</v>
      </c>
      <c r="D18" s="36" t="s">
        <v>107</v>
      </c>
      <c r="E18" s="2" t="s">
        <v>16</v>
      </c>
      <c r="F18" s="2"/>
      <c r="G18" s="2">
        <v>4</v>
      </c>
      <c r="H18" s="2"/>
      <c r="I18" s="2"/>
      <c r="J18" s="42"/>
      <c r="K18" s="37"/>
      <c r="L18" s="37"/>
      <c r="M18" s="2"/>
      <c r="N18" s="2">
        <v>4</v>
      </c>
      <c r="O18" s="2"/>
      <c r="P18" s="2"/>
      <c r="Q18" s="42"/>
      <c r="R18" s="37"/>
      <c r="S18" s="37"/>
      <c r="T18" s="2"/>
      <c r="U18" s="2">
        <v>4</v>
      </c>
      <c r="V18" s="2"/>
      <c r="W18" s="2">
        <v>4</v>
      </c>
      <c r="X18" s="42"/>
      <c r="Y18" s="37"/>
      <c r="Z18" s="37"/>
      <c r="AA18" s="2"/>
      <c r="AB18" s="2">
        <v>5</v>
      </c>
      <c r="AC18" s="2"/>
      <c r="AD18" s="2"/>
      <c r="AE18" s="42"/>
      <c r="AF18" s="37"/>
      <c r="AG18" s="37"/>
      <c r="AH18" s="45">
        <f t="shared" si="0"/>
        <v>21</v>
      </c>
      <c r="AI18" s="56" t="str">
        <f>AI10</f>
        <v>45/45</v>
      </c>
      <c r="AJ18" s="32" t="s">
        <v>162</v>
      </c>
    </row>
    <row r="19" spans="1:36" s="32" customFormat="1" ht="20.25" customHeight="1" x14ac:dyDescent="0.25">
      <c r="A19" s="101"/>
      <c r="B19" s="35" t="s">
        <v>27</v>
      </c>
      <c r="C19" s="38" t="s">
        <v>26</v>
      </c>
      <c r="D19" s="36" t="s">
        <v>107</v>
      </c>
      <c r="E19" s="2" t="s">
        <v>116</v>
      </c>
      <c r="F19" s="2">
        <v>1</v>
      </c>
      <c r="G19" s="2"/>
      <c r="H19" s="2"/>
      <c r="I19" s="2"/>
      <c r="J19" s="2"/>
      <c r="K19" s="37"/>
      <c r="L19" s="37"/>
      <c r="M19" s="2">
        <v>1</v>
      </c>
      <c r="N19" s="2"/>
      <c r="O19" s="2"/>
      <c r="P19" s="2"/>
      <c r="Q19" s="2"/>
      <c r="R19" s="37"/>
      <c r="S19" s="37"/>
      <c r="T19" s="2">
        <v>1</v>
      </c>
      <c r="U19" s="2"/>
      <c r="V19" s="2"/>
      <c r="W19" s="2"/>
      <c r="X19" s="2"/>
      <c r="Y19" s="37"/>
      <c r="Z19" s="37"/>
      <c r="AA19" s="2"/>
      <c r="AB19" s="2"/>
      <c r="AC19" s="2"/>
      <c r="AD19" s="2"/>
      <c r="AE19" s="2"/>
      <c r="AF19" s="37"/>
      <c r="AG19" s="37"/>
      <c r="AH19" s="45">
        <f t="shared" si="0"/>
        <v>3</v>
      </c>
      <c r="AI19" s="58"/>
    </row>
    <row r="20" spans="1:36" s="32" customFormat="1" ht="27" customHeight="1" x14ac:dyDescent="0.25">
      <c r="A20" s="99" t="s">
        <v>97</v>
      </c>
      <c r="B20" s="38" t="s">
        <v>30</v>
      </c>
      <c r="C20" s="38" t="s">
        <v>26</v>
      </c>
      <c r="D20" s="36" t="s">
        <v>107</v>
      </c>
      <c r="E20" s="2" t="s">
        <v>17</v>
      </c>
      <c r="F20" s="2">
        <v>4</v>
      </c>
      <c r="G20" s="2">
        <v>4</v>
      </c>
      <c r="H20" s="2"/>
      <c r="I20" s="2"/>
      <c r="J20" s="2"/>
      <c r="K20" s="37"/>
      <c r="L20" s="37"/>
      <c r="M20" s="2">
        <v>4</v>
      </c>
      <c r="N20" s="2">
        <v>4</v>
      </c>
      <c r="O20" s="2"/>
      <c r="P20" s="2"/>
      <c r="Q20" s="2"/>
      <c r="R20" s="37"/>
      <c r="S20" s="37"/>
      <c r="T20" s="2">
        <v>4</v>
      </c>
      <c r="U20" s="2">
        <v>4</v>
      </c>
      <c r="V20" s="2"/>
      <c r="W20" s="2"/>
      <c r="X20" s="2"/>
      <c r="Y20" s="37"/>
      <c r="Z20" s="37"/>
      <c r="AA20" s="2">
        <v>4</v>
      </c>
      <c r="AB20" s="2">
        <v>4</v>
      </c>
      <c r="AC20" s="2"/>
      <c r="AD20" s="2"/>
      <c r="AE20" s="2"/>
      <c r="AF20" s="37"/>
      <c r="AG20" s="37"/>
      <c r="AH20" s="45">
        <f t="shared" si="0"/>
        <v>32</v>
      </c>
      <c r="AI20" s="58" t="s">
        <v>178</v>
      </c>
    </row>
    <row r="21" spans="1:36" s="32" customFormat="1" ht="27" customHeight="1" x14ac:dyDescent="0.25">
      <c r="A21" s="100"/>
      <c r="B21" s="38" t="s">
        <v>149</v>
      </c>
      <c r="C21" s="38" t="s">
        <v>26</v>
      </c>
      <c r="D21" s="36" t="s">
        <v>107</v>
      </c>
      <c r="E21" s="2" t="s">
        <v>17</v>
      </c>
      <c r="F21" s="2"/>
      <c r="G21" s="2"/>
      <c r="H21" s="2">
        <v>4</v>
      </c>
      <c r="I21" s="2"/>
      <c r="J21" s="2"/>
      <c r="K21" s="37"/>
      <c r="L21" s="37"/>
      <c r="M21" s="2"/>
      <c r="N21" s="2"/>
      <c r="O21" s="2">
        <v>4</v>
      </c>
      <c r="P21" s="2"/>
      <c r="Q21" s="2"/>
      <c r="R21" s="37"/>
      <c r="S21" s="37"/>
      <c r="T21" s="2"/>
      <c r="U21" s="2"/>
      <c r="V21" s="2">
        <v>4</v>
      </c>
      <c r="W21" s="2"/>
      <c r="X21" s="2"/>
      <c r="Y21" s="37"/>
      <c r="Z21" s="37"/>
      <c r="AA21" s="2"/>
      <c r="AB21" s="2"/>
      <c r="AC21" s="2">
        <v>4</v>
      </c>
      <c r="AD21" s="2"/>
      <c r="AE21" s="2"/>
      <c r="AF21" s="37"/>
      <c r="AG21" s="37"/>
      <c r="AH21" s="45">
        <f t="shared" si="0"/>
        <v>16</v>
      </c>
      <c r="AI21" s="58" t="s">
        <v>176</v>
      </c>
    </row>
    <row r="22" spans="1:36" s="32" customFormat="1" ht="27" customHeight="1" x14ac:dyDescent="0.25">
      <c r="A22" s="100"/>
      <c r="B22" s="38" t="s">
        <v>126</v>
      </c>
      <c r="C22" s="38" t="s">
        <v>31</v>
      </c>
      <c r="D22" s="36" t="s">
        <v>107</v>
      </c>
      <c r="E22" s="2" t="s">
        <v>16</v>
      </c>
      <c r="F22" s="2"/>
      <c r="G22" s="2"/>
      <c r="H22" s="42"/>
      <c r="I22" s="42">
        <v>4</v>
      </c>
      <c r="J22" s="42"/>
      <c r="K22" s="66"/>
      <c r="L22" s="66"/>
      <c r="M22" s="2"/>
      <c r="N22" s="2"/>
      <c r="O22" s="42"/>
      <c r="P22" s="42">
        <v>4</v>
      </c>
      <c r="Q22" s="42"/>
      <c r="R22" s="66"/>
      <c r="S22" s="66"/>
      <c r="T22" s="2"/>
      <c r="U22" s="2"/>
      <c r="V22" s="42"/>
      <c r="W22" s="42">
        <v>4</v>
      </c>
      <c r="X22" s="42"/>
      <c r="Y22" s="66"/>
      <c r="Z22" s="66"/>
      <c r="AA22" s="2"/>
      <c r="AB22" s="2"/>
      <c r="AC22" s="42"/>
      <c r="AD22" s="42">
        <v>5</v>
      </c>
      <c r="AE22" s="42"/>
      <c r="AF22" s="37"/>
      <c r="AG22" s="37"/>
      <c r="AH22" s="45">
        <f t="shared" si="0"/>
        <v>17</v>
      </c>
      <c r="AI22" s="58" t="str">
        <f>AI18</f>
        <v>45/45</v>
      </c>
      <c r="AJ22" s="32" t="s">
        <v>162</v>
      </c>
    </row>
    <row r="23" spans="1:36" s="32" customFormat="1" ht="27" customHeight="1" x14ac:dyDescent="0.25">
      <c r="A23" s="101"/>
      <c r="B23" s="38" t="s">
        <v>101</v>
      </c>
      <c r="C23" s="38" t="s">
        <v>95</v>
      </c>
      <c r="D23" s="36" t="s">
        <v>107</v>
      </c>
      <c r="E23" s="2" t="s">
        <v>116</v>
      </c>
      <c r="F23" s="2">
        <v>1</v>
      </c>
      <c r="G23" s="2"/>
      <c r="H23" s="2"/>
      <c r="I23" s="2"/>
      <c r="J23" s="2"/>
      <c r="K23" s="37"/>
      <c r="L23" s="37"/>
      <c r="M23" s="2">
        <v>1</v>
      </c>
      <c r="N23" s="2"/>
      <c r="O23" s="2"/>
      <c r="P23" s="2"/>
      <c r="Q23" s="2"/>
      <c r="R23" s="37"/>
      <c r="S23" s="37"/>
      <c r="T23" s="2">
        <v>1</v>
      </c>
      <c r="U23" s="2"/>
      <c r="V23" s="2"/>
      <c r="W23" s="2"/>
      <c r="X23" s="2"/>
      <c r="Y23" s="37"/>
      <c r="Z23" s="37"/>
      <c r="AA23" s="2">
        <v>1</v>
      </c>
      <c r="AB23" s="2"/>
      <c r="AC23" s="2"/>
      <c r="AD23" s="2"/>
      <c r="AE23" s="2"/>
      <c r="AF23" s="37"/>
      <c r="AG23" s="37"/>
      <c r="AH23" s="45">
        <f t="shared" si="0"/>
        <v>4</v>
      </c>
      <c r="AI23" s="58"/>
    </row>
    <row r="24" spans="1:36" s="32" customFormat="1" ht="29.25" customHeight="1" x14ac:dyDescent="0.25">
      <c r="A24" s="99" t="s">
        <v>98</v>
      </c>
      <c r="B24" s="38" t="s">
        <v>30</v>
      </c>
      <c r="C24" s="38" t="s">
        <v>26</v>
      </c>
      <c r="D24" s="36" t="s">
        <v>107</v>
      </c>
      <c r="E24" s="2" t="s">
        <v>17</v>
      </c>
      <c r="F24" s="2">
        <v>4</v>
      </c>
      <c r="G24" s="2">
        <v>4</v>
      </c>
      <c r="H24" s="2"/>
      <c r="I24" s="2"/>
      <c r="J24" s="2"/>
      <c r="K24" s="37"/>
      <c r="L24" s="37"/>
      <c r="M24" s="2">
        <v>4</v>
      </c>
      <c r="N24" s="2">
        <v>4</v>
      </c>
      <c r="O24" s="2"/>
      <c r="P24" s="2"/>
      <c r="Q24" s="2"/>
      <c r="R24" s="37"/>
      <c r="S24" s="37"/>
      <c r="T24" s="2">
        <v>4</v>
      </c>
      <c r="U24" s="2">
        <v>4</v>
      </c>
      <c r="V24" s="2"/>
      <c r="W24" s="2"/>
      <c r="X24" s="2"/>
      <c r="Y24" s="37"/>
      <c r="Z24" s="37"/>
      <c r="AA24" s="2">
        <v>4</v>
      </c>
      <c r="AB24" s="2">
        <v>4</v>
      </c>
      <c r="AC24" s="2"/>
      <c r="AD24" s="2"/>
      <c r="AE24" s="2"/>
      <c r="AF24" s="37"/>
      <c r="AG24" s="37"/>
      <c r="AH24" s="45">
        <f t="shared" si="0"/>
        <v>32</v>
      </c>
      <c r="AI24" s="59" t="str">
        <f>AI20</f>
        <v>64/120</v>
      </c>
    </row>
    <row r="25" spans="1:36" s="32" customFormat="1" ht="29.25" customHeight="1" x14ac:dyDescent="0.25">
      <c r="A25" s="100"/>
      <c r="B25" s="38" t="s">
        <v>149</v>
      </c>
      <c r="C25" s="38" t="s">
        <v>26</v>
      </c>
      <c r="D25" s="36" t="s">
        <v>107</v>
      </c>
      <c r="E25" s="2" t="s">
        <v>17</v>
      </c>
      <c r="F25" s="2"/>
      <c r="G25" s="2"/>
      <c r="H25" s="2">
        <v>4</v>
      </c>
      <c r="I25" s="2"/>
      <c r="J25" s="2"/>
      <c r="K25" s="37"/>
      <c r="L25" s="37"/>
      <c r="M25" s="2"/>
      <c r="N25" s="2"/>
      <c r="O25" s="2">
        <v>4</v>
      </c>
      <c r="P25" s="2"/>
      <c r="Q25" s="2"/>
      <c r="R25" s="37"/>
      <c r="S25" s="37"/>
      <c r="T25" s="2"/>
      <c r="U25" s="2"/>
      <c r="V25" s="2">
        <v>4</v>
      </c>
      <c r="W25" s="2"/>
      <c r="X25" s="2"/>
      <c r="Y25" s="37"/>
      <c r="Z25" s="37"/>
      <c r="AA25" s="2"/>
      <c r="AB25" s="2"/>
      <c r="AC25" s="2">
        <v>4</v>
      </c>
      <c r="AD25" s="2"/>
      <c r="AE25" s="2"/>
      <c r="AF25" s="37"/>
      <c r="AG25" s="37"/>
      <c r="AH25" s="45">
        <f t="shared" si="0"/>
        <v>16</v>
      </c>
      <c r="AI25" s="59" t="str">
        <f>AI21</f>
        <v>36/45</v>
      </c>
    </row>
    <row r="26" spans="1:36" s="32" customFormat="1" ht="29.25" customHeight="1" x14ac:dyDescent="0.25">
      <c r="A26" s="101"/>
      <c r="B26" s="35" t="s">
        <v>27</v>
      </c>
      <c r="C26" s="35" t="s">
        <v>95</v>
      </c>
      <c r="D26" s="36" t="s">
        <v>107</v>
      </c>
      <c r="E26" s="2" t="s">
        <v>116</v>
      </c>
      <c r="F26" s="2">
        <v>1</v>
      </c>
      <c r="G26" s="2"/>
      <c r="H26" s="2"/>
      <c r="I26" s="2"/>
      <c r="J26" s="2"/>
      <c r="K26" s="37"/>
      <c r="L26" s="37"/>
      <c r="M26" s="2">
        <v>1</v>
      </c>
      <c r="N26" s="2"/>
      <c r="O26" s="2"/>
      <c r="P26" s="2"/>
      <c r="Q26" s="2"/>
      <c r="R26" s="37"/>
      <c r="S26" s="37"/>
      <c r="T26" s="2">
        <v>1</v>
      </c>
      <c r="U26" s="2"/>
      <c r="V26" s="2"/>
      <c r="W26" s="2"/>
      <c r="X26" s="2"/>
      <c r="Y26" s="37"/>
      <c r="Z26" s="37"/>
      <c r="AA26" s="2">
        <v>1</v>
      </c>
      <c r="AB26" s="2"/>
      <c r="AC26" s="2"/>
      <c r="AD26" s="2"/>
      <c r="AE26" s="2"/>
      <c r="AF26" s="37"/>
      <c r="AG26" s="37"/>
      <c r="AH26" s="45">
        <f t="shared" si="0"/>
        <v>4</v>
      </c>
      <c r="AI26" s="58"/>
    </row>
    <row r="27" spans="1:36" s="32" customFormat="1" ht="22.5" customHeight="1" x14ac:dyDescent="0.25">
      <c r="A27" s="99" t="s">
        <v>119</v>
      </c>
      <c r="B27" s="38" t="s">
        <v>25</v>
      </c>
      <c r="C27" s="38" t="s">
        <v>86</v>
      </c>
      <c r="D27" s="36" t="s">
        <v>115</v>
      </c>
      <c r="E27" s="2" t="s">
        <v>16</v>
      </c>
      <c r="F27" s="2">
        <v>4</v>
      </c>
      <c r="G27" s="2"/>
      <c r="H27" s="2"/>
      <c r="I27" s="2"/>
      <c r="J27" s="2"/>
      <c r="K27" s="37"/>
      <c r="L27" s="37"/>
      <c r="M27" s="2">
        <v>4</v>
      </c>
      <c r="N27" s="2"/>
      <c r="O27" s="2"/>
      <c r="P27" s="2"/>
      <c r="Q27" s="2"/>
      <c r="R27" s="37"/>
      <c r="S27" s="37"/>
      <c r="T27" s="2">
        <v>4</v>
      </c>
      <c r="U27" s="2"/>
      <c r="V27" s="2"/>
      <c r="W27" s="2"/>
      <c r="X27" s="2"/>
      <c r="Y27" s="37"/>
      <c r="Z27" s="37"/>
      <c r="AA27" s="2">
        <v>4</v>
      </c>
      <c r="AB27" s="2"/>
      <c r="AC27" s="2"/>
      <c r="AD27" s="2"/>
      <c r="AE27" s="2"/>
      <c r="AF27" s="37"/>
      <c r="AG27" s="37"/>
      <c r="AH27" s="45">
        <f t="shared" si="0"/>
        <v>16</v>
      </c>
      <c r="AI27" s="58" t="s">
        <v>168</v>
      </c>
    </row>
    <row r="28" spans="1:36" s="32" customFormat="1" ht="28.5" customHeight="1" x14ac:dyDescent="0.25">
      <c r="A28" s="100"/>
      <c r="B28" s="38" t="s">
        <v>151</v>
      </c>
      <c r="C28" s="38" t="s">
        <v>95</v>
      </c>
      <c r="D28" s="36" t="s">
        <v>107</v>
      </c>
      <c r="E28" s="2" t="s">
        <v>15</v>
      </c>
      <c r="F28" s="2"/>
      <c r="G28" s="2"/>
      <c r="H28" s="2">
        <v>4</v>
      </c>
      <c r="I28" s="2"/>
      <c r="J28" s="2"/>
      <c r="K28" s="37"/>
      <c r="L28" s="37"/>
      <c r="M28" s="2"/>
      <c r="N28" s="2"/>
      <c r="O28" s="2">
        <v>4</v>
      </c>
      <c r="P28" s="2"/>
      <c r="Q28" s="2"/>
      <c r="R28" s="37"/>
      <c r="S28" s="37"/>
      <c r="T28" s="2"/>
      <c r="U28" s="2"/>
      <c r="V28" s="2">
        <v>3</v>
      </c>
      <c r="W28" s="2"/>
      <c r="X28" s="2"/>
      <c r="Y28" s="37"/>
      <c r="Z28" s="37"/>
      <c r="AA28" s="2"/>
      <c r="AB28" s="2"/>
      <c r="AC28" s="2">
        <v>3</v>
      </c>
      <c r="AD28" s="2"/>
      <c r="AE28" s="2"/>
      <c r="AF28" s="37"/>
      <c r="AG28" s="37"/>
      <c r="AH28" s="45">
        <f t="shared" si="0"/>
        <v>14</v>
      </c>
      <c r="AI28" s="58" t="s">
        <v>174</v>
      </c>
    </row>
    <row r="29" spans="1:36" s="32" customFormat="1" ht="28.5" customHeight="1" x14ac:dyDescent="0.25">
      <c r="A29" s="100"/>
      <c r="B29" s="40" t="s">
        <v>166</v>
      </c>
      <c r="C29" s="38" t="s">
        <v>167</v>
      </c>
      <c r="D29" s="36" t="s">
        <v>115</v>
      </c>
      <c r="E29" s="2" t="s">
        <v>16</v>
      </c>
      <c r="F29" s="2"/>
      <c r="G29" s="2">
        <v>4</v>
      </c>
      <c r="H29" s="2"/>
      <c r="I29" s="2"/>
      <c r="J29" s="2"/>
      <c r="K29" s="37"/>
      <c r="L29" s="37"/>
      <c r="M29" s="2"/>
      <c r="N29" s="2">
        <v>4</v>
      </c>
      <c r="O29" s="2"/>
      <c r="P29" s="2"/>
      <c r="Q29" s="2"/>
      <c r="R29" s="37"/>
      <c r="S29" s="37"/>
      <c r="T29" s="2"/>
      <c r="U29" s="2">
        <v>4</v>
      </c>
      <c r="V29" s="2"/>
      <c r="W29" s="2"/>
      <c r="X29" s="2"/>
      <c r="Y29" s="37"/>
      <c r="Z29" s="37"/>
      <c r="AA29" s="2"/>
      <c r="AB29" s="2">
        <v>4</v>
      </c>
      <c r="AC29" s="2"/>
      <c r="AD29" s="2"/>
      <c r="AE29" s="2"/>
      <c r="AF29" s="37"/>
      <c r="AG29" s="37"/>
      <c r="AH29" s="45">
        <f t="shared" si="0"/>
        <v>16</v>
      </c>
      <c r="AI29" s="58" t="s">
        <v>191</v>
      </c>
    </row>
    <row r="30" spans="1:36" s="32" customFormat="1" ht="22.5" customHeight="1" x14ac:dyDescent="0.25">
      <c r="A30" s="100"/>
      <c r="B30" s="38" t="s">
        <v>93</v>
      </c>
      <c r="C30" s="38" t="s">
        <v>103</v>
      </c>
      <c r="D30" s="36">
        <v>2.4</v>
      </c>
      <c r="E30" s="2" t="s">
        <v>16</v>
      </c>
      <c r="F30" s="2"/>
      <c r="G30" s="2"/>
      <c r="H30" s="2">
        <v>4</v>
      </c>
      <c r="I30" s="2"/>
      <c r="J30" s="2"/>
      <c r="K30" s="37"/>
      <c r="L30" s="37"/>
      <c r="M30" s="2"/>
      <c r="N30" s="2"/>
      <c r="O30" s="2">
        <v>4</v>
      </c>
      <c r="P30" s="2"/>
      <c r="Q30" s="2"/>
      <c r="R30" s="37"/>
      <c r="S30" s="37"/>
      <c r="T30" s="2"/>
      <c r="U30" s="2"/>
      <c r="V30" s="2">
        <v>4</v>
      </c>
      <c r="W30" s="2"/>
      <c r="X30" s="2"/>
      <c r="Y30" s="37"/>
      <c r="Z30" s="37"/>
      <c r="AA30" s="2"/>
      <c r="AB30" s="2"/>
      <c r="AC30" s="2">
        <v>4</v>
      </c>
      <c r="AD30" s="2"/>
      <c r="AE30" s="2"/>
      <c r="AF30" s="37"/>
      <c r="AG30" s="37"/>
      <c r="AH30" s="45">
        <f t="shared" si="0"/>
        <v>16</v>
      </c>
      <c r="AI30" s="57" t="s">
        <v>188</v>
      </c>
    </row>
    <row r="31" spans="1:36" s="32" customFormat="1" ht="28.5" customHeight="1" x14ac:dyDescent="0.25">
      <c r="A31" s="101"/>
      <c r="B31" s="35" t="s">
        <v>27</v>
      </c>
      <c r="C31" s="38" t="s">
        <v>26</v>
      </c>
      <c r="D31" s="36" t="s">
        <v>107</v>
      </c>
      <c r="E31" s="2" t="s">
        <v>116</v>
      </c>
      <c r="F31" s="2"/>
      <c r="G31" s="2"/>
      <c r="H31" s="2"/>
      <c r="I31" s="2">
        <v>1</v>
      </c>
      <c r="J31" s="2"/>
      <c r="K31" s="37"/>
      <c r="L31" s="37"/>
      <c r="M31" s="2"/>
      <c r="N31" s="2"/>
      <c r="O31" s="2"/>
      <c r="P31" s="2">
        <v>1</v>
      </c>
      <c r="Q31" s="2"/>
      <c r="R31" s="37"/>
      <c r="S31" s="37"/>
      <c r="T31" s="2"/>
      <c r="U31" s="2"/>
      <c r="V31" s="2"/>
      <c r="W31" s="2">
        <v>1</v>
      </c>
      <c r="X31" s="2"/>
      <c r="Y31" s="37"/>
      <c r="Z31" s="37"/>
      <c r="AA31" s="2"/>
      <c r="AB31" s="2"/>
      <c r="AC31" s="2"/>
      <c r="AD31" s="2">
        <v>1</v>
      </c>
      <c r="AE31" s="2"/>
      <c r="AF31" s="37"/>
      <c r="AG31" s="37"/>
      <c r="AH31" s="45">
        <f t="shared" si="0"/>
        <v>4</v>
      </c>
      <c r="AI31" s="58"/>
    </row>
    <row r="32" spans="1:36" s="32" customFormat="1" ht="24.75" customHeight="1" x14ac:dyDescent="0.25">
      <c r="A32" s="99" t="s">
        <v>120</v>
      </c>
      <c r="B32" s="38" t="s">
        <v>34</v>
      </c>
      <c r="C32" s="38" t="s">
        <v>124</v>
      </c>
      <c r="D32" s="36">
        <v>2.1</v>
      </c>
      <c r="E32" s="2" t="s">
        <v>15</v>
      </c>
      <c r="F32" s="2">
        <v>4</v>
      </c>
      <c r="G32" s="2"/>
      <c r="H32" s="2"/>
      <c r="I32" s="2"/>
      <c r="J32" s="2"/>
      <c r="K32" s="37"/>
      <c r="L32" s="37"/>
      <c r="M32" s="2">
        <v>4</v>
      </c>
      <c r="N32" s="2"/>
      <c r="O32" s="2"/>
      <c r="P32" s="2"/>
      <c r="Q32" s="2"/>
      <c r="R32" s="37"/>
      <c r="S32" s="37"/>
      <c r="T32" s="2">
        <v>4</v>
      </c>
      <c r="U32" s="2"/>
      <c r="V32" s="2"/>
      <c r="W32" s="2"/>
      <c r="X32" s="2"/>
      <c r="Y32" s="37"/>
      <c r="Z32" s="37"/>
      <c r="AA32" s="2">
        <v>4</v>
      </c>
      <c r="AB32" s="2"/>
      <c r="AC32" s="2"/>
      <c r="AD32" s="2"/>
      <c r="AE32" s="2"/>
      <c r="AF32" s="37"/>
      <c r="AG32" s="37"/>
      <c r="AH32" s="45">
        <f t="shared" ref="AH32:AH33" si="1">SUM(F32:AG32)</f>
        <v>16</v>
      </c>
      <c r="AI32" s="58" t="s">
        <v>196</v>
      </c>
    </row>
    <row r="33" spans="1:35" s="32" customFormat="1" ht="24.75" customHeight="1" x14ac:dyDescent="0.25">
      <c r="A33" s="100"/>
      <c r="B33" s="38" t="s">
        <v>88</v>
      </c>
      <c r="C33" s="38" t="s">
        <v>87</v>
      </c>
      <c r="D33" s="36">
        <v>2.1</v>
      </c>
      <c r="E33" s="2" t="s">
        <v>15</v>
      </c>
      <c r="F33" s="2"/>
      <c r="G33" s="2">
        <v>4</v>
      </c>
      <c r="H33" s="2"/>
      <c r="I33" s="2"/>
      <c r="J33" s="2"/>
      <c r="K33" s="37"/>
      <c r="L33" s="37"/>
      <c r="M33" s="2"/>
      <c r="N33" s="2">
        <v>4</v>
      </c>
      <c r="O33" s="2"/>
      <c r="P33" s="2"/>
      <c r="Q33" s="2"/>
      <c r="R33" s="37"/>
      <c r="S33" s="37"/>
      <c r="T33" s="2"/>
      <c r="U33" s="2">
        <v>3</v>
      </c>
      <c r="V33" s="2"/>
      <c r="W33" s="2"/>
      <c r="X33" s="2"/>
      <c r="Y33" s="37"/>
      <c r="Z33" s="37"/>
      <c r="AA33" s="2"/>
      <c r="AB33" s="2">
        <v>3</v>
      </c>
      <c r="AC33" s="2"/>
      <c r="AD33" s="2"/>
      <c r="AE33" s="2"/>
      <c r="AF33" s="37"/>
      <c r="AG33" s="37"/>
      <c r="AH33" s="45">
        <f t="shared" si="1"/>
        <v>14</v>
      </c>
      <c r="AI33" s="58" t="s">
        <v>174</v>
      </c>
    </row>
    <row r="34" spans="1:35" s="32" customFormat="1" ht="24.75" customHeight="1" x14ac:dyDescent="0.25">
      <c r="A34" s="100"/>
      <c r="B34" s="38" t="s">
        <v>151</v>
      </c>
      <c r="C34" s="38" t="s">
        <v>95</v>
      </c>
      <c r="D34" s="36" t="s">
        <v>107</v>
      </c>
      <c r="E34" s="2" t="s">
        <v>15</v>
      </c>
      <c r="F34" s="2"/>
      <c r="G34" s="2"/>
      <c r="H34" s="2">
        <v>4</v>
      </c>
      <c r="I34" s="2"/>
      <c r="J34" s="2"/>
      <c r="K34" s="37"/>
      <c r="L34" s="37"/>
      <c r="M34" s="2"/>
      <c r="N34" s="2"/>
      <c r="O34" s="2">
        <v>4</v>
      </c>
      <c r="P34" s="2"/>
      <c r="Q34" s="2"/>
      <c r="R34" s="37"/>
      <c r="S34" s="37"/>
      <c r="T34" s="2"/>
      <c r="U34" s="2"/>
      <c r="V34" s="2">
        <v>3</v>
      </c>
      <c r="W34" s="2"/>
      <c r="X34" s="2"/>
      <c r="Y34" s="37"/>
      <c r="Z34" s="37"/>
      <c r="AA34" s="2"/>
      <c r="AB34" s="2"/>
      <c r="AC34" s="2">
        <v>3</v>
      </c>
      <c r="AD34" s="2"/>
      <c r="AE34" s="2"/>
      <c r="AF34" s="37"/>
      <c r="AG34" s="37"/>
      <c r="AH34" s="45">
        <f t="shared" si="0"/>
        <v>14</v>
      </c>
      <c r="AI34" s="58" t="str">
        <f>AI28</f>
        <v>30/30</v>
      </c>
    </row>
    <row r="35" spans="1:35" s="32" customFormat="1" ht="24.75" customHeight="1" x14ac:dyDescent="0.25">
      <c r="A35" s="100"/>
      <c r="B35" s="38" t="s">
        <v>25</v>
      </c>
      <c r="C35" s="38" t="s">
        <v>86</v>
      </c>
      <c r="D35" s="36" t="s">
        <v>115</v>
      </c>
      <c r="E35" s="2" t="s">
        <v>15</v>
      </c>
      <c r="F35" s="2"/>
      <c r="G35" s="2"/>
      <c r="H35" s="2"/>
      <c r="I35" s="2">
        <v>4</v>
      </c>
      <c r="J35" s="2"/>
      <c r="K35" s="37"/>
      <c r="L35" s="37"/>
      <c r="M35" s="2"/>
      <c r="N35" s="2"/>
      <c r="O35" s="2"/>
      <c r="P35" s="2">
        <v>4</v>
      </c>
      <c r="Q35" s="2"/>
      <c r="R35" s="37"/>
      <c r="S35" s="37"/>
      <c r="T35" s="2"/>
      <c r="U35" s="2"/>
      <c r="V35" s="2"/>
      <c r="W35" s="2">
        <v>4</v>
      </c>
      <c r="X35" s="2"/>
      <c r="Y35" s="37"/>
      <c r="Z35" s="37"/>
      <c r="AA35" s="2"/>
      <c r="AB35" s="2"/>
      <c r="AC35" s="2"/>
      <c r="AD35" s="2">
        <v>4</v>
      </c>
      <c r="AE35" s="2"/>
      <c r="AF35" s="37"/>
      <c r="AG35" s="37"/>
      <c r="AH35" s="45">
        <f t="shared" si="0"/>
        <v>16</v>
      </c>
      <c r="AI35" s="58" t="s">
        <v>152</v>
      </c>
    </row>
    <row r="36" spans="1:35" s="32" customFormat="1" ht="24.75" customHeight="1" x14ac:dyDescent="0.25">
      <c r="A36" s="101"/>
      <c r="B36" s="35" t="s">
        <v>27</v>
      </c>
      <c r="C36" s="34" t="s">
        <v>26</v>
      </c>
      <c r="D36" s="36" t="s">
        <v>107</v>
      </c>
      <c r="E36" s="2" t="s">
        <v>116</v>
      </c>
      <c r="F36" s="2">
        <v>1</v>
      </c>
      <c r="G36" s="2"/>
      <c r="H36" s="2"/>
      <c r="I36" s="2"/>
      <c r="J36" s="2"/>
      <c r="K36" s="37"/>
      <c r="L36" s="37"/>
      <c r="M36" s="2">
        <v>1</v>
      </c>
      <c r="N36" s="2"/>
      <c r="O36" s="2"/>
      <c r="P36" s="2"/>
      <c r="Q36" s="2"/>
      <c r="R36" s="37"/>
      <c r="S36" s="37"/>
      <c r="T36" s="2">
        <v>1</v>
      </c>
      <c r="U36" s="2"/>
      <c r="V36" s="2"/>
      <c r="W36" s="2"/>
      <c r="X36" s="2"/>
      <c r="Y36" s="37"/>
      <c r="Z36" s="37"/>
      <c r="AA36" s="2">
        <v>1</v>
      </c>
      <c r="AB36" s="2"/>
      <c r="AC36" s="2"/>
      <c r="AD36" s="2"/>
      <c r="AE36" s="2"/>
      <c r="AF36" s="37"/>
      <c r="AG36" s="37"/>
      <c r="AH36" s="45">
        <f t="shared" si="0"/>
        <v>4</v>
      </c>
      <c r="AI36" s="58"/>
    </row>
    <row r="37" spans="1:35" s="32" customFormat="1" ht="24.75" customHeight="1" x14ac:dyDescent="0.25">
      <c r="A37" s="99" t="s">
        <v>121</v>
      </c>
      <c r="B37" s="38" t="s">
        <v>34</v>
      </c>
      <c r="C37" s="38" t="s">
        <v>124</v>
      </c>
      <c r="D37" s="36">
        <v>2.1</v>
      </c>
      <c r="E37" s="2" t="s">
        <v>15</v>
      </c>
      <c r="F37" s="2">
        <v>4</v>
      </c>
      <c r="G37" s="2"/>
      <c r="H37" s="2"/>
      <c r="I37" s="2"/>
      <c r="J37" s="2"/>
      <c r="K37" s="37"/>
      <c r="L37" s="37"/>
      <c r="M37" s="2">
        <v>4</v>
      </c>
      <c r="N37" s="2"/>
      <c r="O37" s="2"/>
      <c r="P37" s="2"/>
      <c r="Q37" s="2"/>
      <c r="R37" s="37"/>
      <c r="S37" s="37"/>
      <c r="T37" s="2">
        <v>4</v>
      </c>
      <c r="U37" s="2"/>
      <c r="V37" s="2"/>
      <c r="W37" s="2"/>
      <c r="X37" s="2"/>
      <c r="Y37" s="37"/>
      <c r="Z37" s="37"/>
      <c r="AA37" s="2">
        <v>4</v>
      </c>
      <c r="AB37" s="2"/>
      <c r="AC37" s="2"/>
      <c r="AD37" s="2"/>
      <c r="AE37" s="2"/>
      <c r="AF37" s="37"/>
      <c r="AG37" s="37"/>
      <c r="AH37" s="45">
        <f t="shared" ref="AH37:AH40" si="2">SUM(F37:AG37)</f>
        <v>16</v>
      </c>
      <c r="AI37" s="58" t="str">
        <f>AI32</f>
        <v>32/90</v>
      </c>
    </row>
    <row r="38" spans="1:35" s="32" customFormat="1" ht="24.75" customHeight="1" x14ac:dyDescent="0.25">
      <c r="A38" s="100"/>
      <c r="B38" s="38" t="s">
        <v>88</v>
      </c>
      <c r="C38" s="38" t="s">
        <v>87</v>
      </c>
      <c r="D38" s="36">
        <v>2.1</v>
      </c>
      <c r="E38" s="2" t="s">
        <v>15</v>
      </c>
      <c r="F38" s="2"/>
      <c r="G38" s="2">
        <v>4</v>
      </c>
      <c r="H38" s="2"/>
      <c r="I38" s="2"/>
      <c r="J38" s="2"/>
      <c r="K38" s="37"/>
      <c r="L38" s="37"/>
      <c r="M38" s="2"/>
      <c r="N38" s="2">
        <v>4</v>
      </c>
      <c r="O38" s="2"/>
      <c r="P38" s="2"/>
      <c r="Q38" s="2"/>
      <c r="R38" s="37"/>
      <c r="S38" s="37"/>
      <c r="T38" s="2"/>
      <c r="U38" s="2">
        <v>4</v>
      </c>
      <c r="V38" s="2"/>
      <c r="W38" s="2"/>
      <c r="X38" s="2"/>
      <c r="Y38" s="37"/>
      <c r="Z38" s="37"/>
      <c r="AA38" s="2"/>
      <c r="AB38" s="2">
        <v>4</v>
      </c>
      <c r="AC38" s="2"/>
      <c r="AD38" s="2"/>
      <c r="AE38" s="2"/>
      <c r="AF38" s="37"/>
      <c r="AG38" s="37"/>
      <c r="AH38" s="45">
        <f t="shared" si="2"/>
        <v>16</v>
      </c>
      <c r="AI38" s="58" t="str">
        <f>AI33</f>
        <v>30/30</v>
      </c>
    </row>
    <row r="39" spans="1:35" s="32" customFormat="1" ht="24.75" customHeight="1" x14ac:dyDescent="0.25">
      <c r="A39" s="100"/>
      <c r="B39" s="38" t="s">
        <v>155</v>
      </c>
      <c r="C39" s="38" t="s">
        <v>156</v>
      </c>
      <c r="D39" s="36" t="s">
        <v>157</v>
      </c>
      <c r="E39" s="2" t="s">
        <v>15</v>
      </c>
      <c r="F39" s="2"/>
      <c r="G39" s="2"/>
      <c r="H39" s="2"/>
      <c r="I39" s="2"/>
      <c r="J39" s="2">
        <v>4</v>
      </c>
      <c r="K39" s="37"/>
      <c r="L39" s="37"/>
      <c r="M39" s="2"/>
      <c r="N39" s="2"/>
      <c r="O39" s="2"/>
      <c r="P39" s="2"/>
      <c r="Q39" s="2">
        <v>4</v>
      </c>
      <c r="R39" s="37"/>
      <c r="S39" s="37"/>
      <c r="T39" s="2"/>
      <c r="U39" s="2"/>
      <c r="V39" s="2"/>
      <c r="W39" s="2"/>
      <c r="X39" s="2">
        <v>3</v>
      </c>
      <c r="Y39" s="37"/>
      <c r="Z39" s="37"/>
      <c r="AA39" s="2"/>
      <c r="AB39" s="2"/>
      <c r="AC39" s="2"/>
      <c r="AD39" s="2"/>
      <c r="AE39" s="2">
        <v>3</v>
      </c>
      <c r="AF39" s="37"/>
      <c r="AG39" s="37"/>
      <c r="AH39" s="45">
        <f t="shared" si="2"/>
        <v>14</v>
      </c>
      <c r="AI39" s="58" t="s">
        <v>174</v>
      </c>
    </row>
    <row r="40" spans="1:35" s="32" customFormat="1" ht="24.75" customHeight="1" x14ac:dyDescent="0.25">
      <c r="A40" s="100"/>
      <c r="B40" s="38" t="s">
        <v>25</v>
      </c>
      <c r="C40" s="38" t="s">
        <v>86</v>
      </c>
      <c r="D40" s="36" t="s">
        <v>115</v>
      </c>
      <c r="E40" s="2" t="s">
        <v>15</v>
      </c>
      <c r="F40" s="2"/>
      <c r="G40" s="2"/>
      <c r="H40" s="2"/>
      <c r="I40" s="2">
        <v>4</v>
      </c>
      <c r="J40" s="2"/>
      <c r="K40" s="37"/>
      <c r="L40" s="37"/>
      <c r="M40" s="2"/>
      <c r="N40" s="2"/>
      <c r="O40" s="2"/>
      <c r="P40" s="2">
        <v>4</v>
      </c>
      <c r="Q40" s="2"/>
      <c r="R40" s="37"/>
      <c r="S40" s="37"/>
      <c r="T40" s="2"/>
      <c r="U40" s="2"/>
      <c r="V40" s="2"/>
      <c r="W40" s="2">
        <v>4</v>
      </c>
      <c r="X40" s="2"/>
      <c r="Y40" s="37"/>
      <c r="Z40" s="37"/>
      <c r="AA40" s="2"/>
      <c r="AB40" s="2"/>
      <c r="AC40" s="2"/>
      <c r="AD40" s="2">
        <v>4</v>
      </c>
      <c r="AE40" s="2"/>
      <c r="AF40" s="37"/>
      <c r="AG40" s="37"/>
      <c r="AH40" s="45">
        <f t="shared" si="2"/>
        <v>16</v>
      </c>
      <c r="AI40" s="58" t="str">
        <f>AI35</f>
        <v>16/30</v>
      </c>
    </row>
    <row r="41" spans="1:35" s="32" customFormat="1" ht="50.25" customHeight="1" x14ac:dyDescent="0.25">
      <c r="A41" s="100"/>
      <c r="B41" s="40" t="s">
        <v>153</v>
      </c>
      <c r="C41" s="38" t="s">
        <v>94</v>
      </c>
      <c r="D41" s="36" t="s">
        <v>107</v>
      </c>
      <c r="E41" s="2" t="s">
        <v>15</v>
      </c>
      <c r="F41" s="2"/>
      <c r="G41" s="2"/>
      <c r="H41" s="2">
        <v>4</v>
      </c>
      <c r="I41" s="2"/>
      <c r="J41" s="2"/>
      <c r="K41" s="37"/>
      <c r="L41" s="37"/>
      <c r="M41" s="2"/>
      <c r="N41" s="2"/>
      <c r="O41" s="2">
        <v>4</v>
      </c>
      <c r="P41" s="2"/>
      <c r="Q41" s="2"/>
      <c r="R41" s="37"/>
      <c r="S41" s="37"/>
      <c r="T41" s="2"/>
      <c r="U41" s="2"/>
      <c r="V41" s="2">
        <v>4</v>
      </c>
      <c r="W41" s="2"/>
      <c r="X41" s="2"/>
      <c r="Y41" s="37"/>
      <c r="Z41" s="37"/>
      <c r="AA41" s="2"/>
      <c r="AB41" s="2"/>
      <c r="AC41" s="2">
        <v>4</v>
      </c>
      <c r="AD41" s="2"/>
      <c r="AE41" s="2"/>
      <c r="AF41" s="37"/>
      <c r="AG41" s="37"/>
      <c r="AH41" s="45">
        <f t="shared" si="0"/>
        <v>16</v>
      </c>
      <c r="AI41" s="58" t="s">
        <v>177</v>
      </c>
    </row>
    <row r="42" spans="1:35" s="32" customFormat="1" ht="24.75" customHeight="1" x14ac:dyDescent="0.25">
      <c r="A42" s="101"/>
      <c r="B42" s="35" t="s">
        <v>27</v>
      </c>
      <c r="C42" s="34" t="s">
        <v>94</v>
      </c>
      <c r="D42" s="36" t="s">
        <v>107</v>
      </c>
      <c r="E42" s="2" t="s">
        <v>116</v>
      </c>
      <c r="F42" s="2">
        <v>1</v>
      </c>
      <c r="G42" s="2"/>
      <c r="H42" s="2"/>
      <c r="I42" s="2"/>
      <c r="J42" s="2"/>
      <c r="K42" s="37"/>
      <c r="L42" s="37"/>
      <c r="M42" s="2">
        <v>1</v>
      </c>
      <c r="N42" s="2"/>
      <c r="O42" s="2"/>
      <c r="P42" s="2"/>
      <c r="Q42" s="2"/>
      <c r="R42" s="37"/>
      <c r="S42" s="37"/>
      <c r="T42" s="2">
        <v>1</v>
      </c>
      <c r="U42" s="2"/>
      <c r="V42" s="2"/>
      <c r="W42" s="2"/>
      <c r="X42" s="2"/>
      <c r="Y42" s="37"/>
      <c r="Z42" s="37"/>
      <c r="AA42" s="2">
        <v>1</v>
      </c>
      <c r="AB42" s="2"/>
      <c r="AC42" s="2"/>
      <c r="AD42" s="2"/>
      <c r="AE42" s="2"/>
      <c r="AF42" s="37"/>
      <c r="AG42" s="37"/>
      <c r="AH42" s="45">
        <f t="shared" si="0"/>
        <v>4</v>
      </c>
      <c r="AI42" s="58"/>
    </row>
    <row r="43" spans="1:35" s="32" customFormat="1" ht="24.75" customHeight="1" x14ac:dyDescent="0.25">
      <c r="A43" s="99" t="s">
        <v>102</v>
      </c>
      <c r="B43" s="123" t="s">
        <v>34</v>
      </c>
      <c r="C43" s="124" t="s">
        <v>124</v>
      </c>
      <c r="D43" s="99" t="s">
        <v>99</v>
      </c>
      <c r="E43" s="2" t="s">
        <v>15</v>
      </c>
      <c r="F43" s="2"/>
      <c r="G43" s="2"/>
      <c r="H43" s="2"/>
      <c r="I43" s="2"/>
      <c r="J43" s="2"/>
      <c r="K43" s="37">
        <v>4</v>
      </c>
      <c r="L43" s="37"/>
      <c r="M43" s="2"/>
      <c r="N43" s="2"/>
      <c r="O43" s="2"/>
      <c r="P43" s="2"/>
      <c r="Q43" s="2"/>
      <c r="R43" s="37"/>
      <c r="S43" s="37"/>
      <c r="T43" s="2"/>
      <c r="U43" s="2"/>
      <c r="V43" s="2"/>
      <c r="W43" s="2"/>
      <c r="X43" s="2"/>
      <c r="Y43" s="37"/>
      <c r="Z43" s="37"/>
      <c r="AA43" s="2"/>
      <c r="AB43" s="2"/>
      <c r="AC43" s="2"/>
      <c r="AD43" s="2"/>
      <c r="AE43" s="2"/>
      <c r="AF43" s="37"/>
      <c r="AG43" s="37"/>
      <c r="AH43" s="113">
        <f>SUM(J43:AG44)</f>
        <v>8</v>
      </c>
      <c r="AI43" s="115" t="s">
        <v>179</v>
      </c>
    </row>
    <row r="44" spans="1:35" s="32" customFormat="1" ht="18.75" customHeight="1" x14ac:dyDescent="0.25">
      <c r="A44" s="100"/>
      <c r="B44" s="123"/>
      <c r="C44" s="124"/>
      <c r="D44" s="100"/>
      <c r="E44" s="2" t="s">
        <v>16</v>
      </c>
      <c r="F44" s="2"/>
      <c r="G44" s="2"/>
      <c r="H44" s="2"/>
      <c r="I44" s="2"/>
      <c r="J44" s="2"/>
      <c r="K44" s="37">
        <v>4</v>
      </c>
      <c r="L44" s="37"/>
      <c r="M44" s="2"/>
      <c r="N44" s="2"/>
      <c r="O44" s="2"/>
      <c r="P44" s="2"/>
      <c r="Q44" s="2"/>
      <c r="R44" s="37"/>
      <c r="S44" s="37"/>
      <c r="T44" s="2"/>
      <c r="U44" s="2"/>
      <c r="V44" s="2"/>
      <c r="W44" s="2"/>
      <c r="X44" s="2"/>
      <c r="Y44" s="37"/>
      <c r="Z44" s="37"/>
      <c r="AA44" s="2"/>
      <c r="AB44" s="2"/>
      <c r="AC44" s="2"/>
      <c r="AD44" s="2"/>
      <c r="AE44" s="2"/>
      <c r="AF44" s="37"/>
      <c r="AG44" s="37"/>
      <c r="AH44" s="114"/>
      <c r="AI44" s="116"/>
    </row>
    <row r="45" spans="1:35" s="32" customFormat="1" ht="30" customHeight="1" x14ac:dyDescent="0.25">
      <c r="A45" s="100"/>
      <c r="B45" s="123" t="s">
        <v>149</v>
      </c>
      <c r="C45" s="124" t="s">
        <v>23</v>
      </c>
      <c r="D45" s="100"/>
      <c r="E45" s="2" t="s">
        <v>15</v>
      </c>
      <c r="F45" s="2"/>
      <c r="G45" s="2"/>
      <c r="H45" s="2"/>
      <c r="I45" s="2"/>
      <c r="J45" s="2"/>
      <c r="K45" s="37"/>
      <c r="L45" s="37"/>
      <c r="M45" s="2"/>
      <c r="N45" s="2"/>
      <c r="O45" s="2"/>
      <c r="P45" s="2"/>
      <c r="Q45" s="2"/>
      <c r="R45" s="37">
        <v>4</v>
      </c>
      <c r="S45" s="37"/>
      <c r="T45" s="2"/>
      <c r="U45" s="2"/>
      <c r="V45" s="2"/>
      <c r="W45" s="2"/>
      <c r="X45" s="2"/>
      <c r="Y45" s="37">
        <v>4</v>
      </c>
      <c r="Z45" s="37"/>
      <c r="AA45" s="2"/>
      <c r="AB45" s="2"/>
      <c r="AC45" s="2"/>
      <c r="AD45" s="2"/>
      <c r="AE45" s="2"/>
      <c r="AF45" s="37">
        <v>4</v>
      </c>
      <c r="AG45" s="37"/>
      <c r="AH45" s="125">
        <f>SUM(R45:AG46)</f>
        <v>24</v>
      </c>
      <c r="AI45" s="122" t="s">
        <v>159</v>
      </c>
    </row>
    <row r="46" spans="1:35" s="32" customFormat="1" ht="25.5" customHeight="1" x14ac:dyDescent="0.25">
      <c r="A46" s="101"/>
      <c r="B46" s="123"/>
      <c r="C46" s="124"/>
      <c r="D46" s="101"/>
      <c r="E46" s="2" t="s">
        <v>16</v>
      </c>
      <c r="F46" s="2"/>
      <c r="G46" s="2"/>
      <c r="H46" s="2"/>
      <c r="I46" s="2"/>
      <c r="J46" s="2"/>
      <c r="K46" s="37"/>
      <c r="L46" s="37"/>
      <c r="M46" s="2"/>
      <c r="N46" s="2"/>
      <c r="O46" s="2"/>
      <c r="P46" s="2"/>
      <c r="Q46" s="2"/>
      <c r="R46" s="37">
        <v>4</v>
      </c>
      <c r="S46" s="37"/>
      <c r="T46" s="2"/>
      <c r="U46" s="2"/>
      <c r="V46" s="2"/>
      <c r="W46" s="2"/>
      <c r="X46" s="2"/>
      <c r="Y46" s="37">
        <v>4</v>
      </c>
      <c r="Z46" s="37"/>
      <c r="AA46" s="2"/>
      <c r="AB46" s="2"/>
      <c r="AC46" s="2"/>
      <c r="AD46" s="2"/>
      <c r="AE46" s="2"/>
      <c r="AF46" s="37">
        <v>4</v>
      </c>
      <c r="AG46" s="37"/>
      <c r="AH46" s="125"/>
      <c r="AI46" s="122"/>
    </row>
    <row r="47" spans="1:35" s="32" customFormat="1" ht="48" customHeight="1" x14ac:dyDescent="0.25">
      <c r="A47" s="41" t="s">
        <v>104</v>
      </c>
      <c r="B47" s="38" t="s">
        <v>30</v>
      </c>
      <c r="C47" s="38" t="s">
        <v>26</v>
      </c>
      <c r="D47" s="36" t="s">
        <v>100</v>
      </c>
      <c r="E47" s="2" t="s">
        <v>16</v>
      </c>
      <c r="F47" s="2"/>
      <c r="G47" s="2"/>
      <c r="H47" s="2">
        <v>5</v>
      </c>
      <c r="I47" s="2">
        <v>5</v>
      </c>
      <c r="J47" s="2"/>
      <c r="K47" s="37"/>
      <c r="L47" s="37"/>
      <c r="M47" s="2"/>
      <c r="N47" s="2"/>
      <c r="O47" s="2">
        <v>5</v>
      </c>
      <c r="P47" s="2">
        <v>5</v>
      </c>
      <c r="Q47" s="2"/>
      <c r="R47" s="37"/>
      <c r="S47" s="37"/>
      <c r="T47" s="2"/>
      <c r="U47" s="2"/>
      <c r="V47" s="2">
        <v>5</v>
      </c>
      <c r="W47" s="2">
        <v>5</v>
      </c>
      <c r="X47" s="2"/>
      <c r="Y47" s="37"/>
      <c r="Z47" s="37"/>
      <c r="AA47" s="2"/>
      <c r="AB47" s="2"/>
      <c r="AC47" s="2">
        <v>5</v>
      </c>
      <c r="AD47" s="2">
        <v>5</v>
      </c>
      <c r="AE47" s="2"/>
      <c r="AF47" s="37"/>
      <c r="AG47" s="37"/>
      <c r="AH47" s="45">
        <f>SUM(F47:AG47)</f>
        <v>40</v>
      </c>
      <c r="AI47" s="58" t="s">
        <v>180</v>
      </c>
    </row>
    <row r="48" spans="1:35" s="32" customFormat="1" ht="22.5" customHeight="1" x14ac:dyDescent="0.25">
      <c r="A48" s="118" t="s">
        <v>111</v>
      </c>
      <c r="B48" s="123" t="s">
        <v>30</v>
      </c>
      <c r="C48" s="124" t="s">
        <v>95</v>
      </c>
      <c r="D48" s="99" t="s">
        <v>105</v>
      </c>
      <c r="E48" s="2" t="s">
        <v>17</v>
      </c>
      <c r="F48" s="2"/>
      <c r="G48" s="2"/>
      <c r="H48" s="2"/>
      <c r="I48" s="2"/>
      <c r="J48" s="2"/>
      <c r="K48" s="37"/>
      <c r="L48" s="37"/>
      <c r="M48" s="2"/>
      <c r="N48" s="2"/>
      <c r="O48" s="2"/>
      <c r="P48" s="2"/>
      <c r="Q48" s="2">
        <v>4</v>
      </c>
      <c r="R48" s="37"/>
      <c r="S48" s="37"/>
      <c r="T48" s="2"/>
      <c r="U48" s="2"/>
      <c r="V48" s="2"/>
      <c r="W48" s="2"/>
      <c r="X48" s="2">
        <v>4</v>
      </c>
      <c r="Y48" s="37"/>
      <c r="Z48" s="37"/>
      <c r="AA48" s="2"/>
      <c r="AB48" s="2"/>
      <c r="AC48" s="2"/>
      <c r="AD48" s="2"/>
      <c r="AE48" s="2">
        <v>4</v>
      </c>
      <c r="AF48" s="37"/>
      <c r="AG48" s="37"/>
      <c r="AH48" s="125">
        <f>SUM(F48:AG49)</f>
        <v>39</v>
      </c>
      <c r="AI48" s="122" t="s">
        <v>238</v>
      </c>
    </row>
    <row r="49" spans="1:42" s="32" customFormat="1" ht="22.5" customHeight="1" x14ac:dyDescent="0.25">
      <c r="A49" s="118"/>
      <c r="B49" s="123"/>
      <c r="C49" s="124"/>
      <c r="D49" s="100"/>
      <c r="E49" s="2" t="s">
        <v>16</v>
      </c>
      <c r="F49" s="2"/>
      <c r="G49" s="2"/>
      <c r="H49" s="2"/>
      <c r="I49" s="2"/>
      <c r="J49" s="2"/>
      <c r="K49" s="37"/>
      <c r="L49" s="37"/>
      <c r="M49" s="2"/>
      <c r="N49" s="2"/>
      <c r="O49" s="2"/>
      <c r="P49" s="2">
        <v>5</v>
      </c>
      <c r="Q49" s="2">
        <v>4</v>
      </c>
      <c r="R49" s="37"/>
      <c r="S49" s="37"/>
      <c r="T49" s="2"/>
      <c r="U49" s="2"/>
      <c r="V49" s="2"/>
      <c r="W49" s="2">
        <v>5</v>
      </c>
      <c r="X49" s="2">
        <v>4</v>
      </c>
      <c r="Y49" s="37"/>
      <c r="Z49" s="37"/>
      <c r="AA49" s="2"/>
      <c r="AB49" s="2"/>
      <c r="AC49" s="2"/>
      <c r="AD49" s="2">
        <v>5</v>
      </c>
      <c r="AE49" s="2">
        <v>4</v>
      </c>
      <c r="AF49" s="37"/>
      <c r="AG49" s="37"/>
      <c r="AH49" s="125"/>
      <c r="AI49" s="122"/>
    </row>
    <row r="50" spans="1:42" s="32" customFormat="1" ht="30.75" customHeight="1" x14ac:dyDescent="0.25">
      <c r="A50" s="99" t="s">
        <v>181</v>
      </c>
      <c r="B50" s="123" t="s">
        <v>171</v>
      </c>
      <c r="C50" s="131" t="s">
        <v>184</v>
      </c>
      <c r="D50" s="100"/>
      <c r="E50" s="2" t="s">
        <v>17</v>
      </c>
      <c r="F50" s="2"/>
      <c r="G50" s="2"/>
      <c r="H50" s="2"/>
      <c r="I50" s="2"/>
      <c r="J50" s="2">
        <v>4</v>
      </c>
      <c r="K50" s="37"/>
      <c r="L50" s="37"/>
      <c r="M50" s="2"/>
      <c r="N50" s="2"/>
      <c r="O50" s="2"/>
      <c r="P50" s="2"/>
      <c r="Q50" s="2">
        <v>4</v>
      </c>
      <c r="R50" s="37"/>
      <c r="S50" s="37"/>
      <c r="T50" s="2"/>
      <c r="U50" s="2"/>
      <c r="V50" s="2"/>
      <c r="W50" s="2"/>
      <c r="X50" s="2">
        <v>4</v>
      </c>
      <c r="Y50" s="37"/>
      <c r="Z50" s="37"/>
      <c r="AA50" s="2"/>
      <c r="AB50" s="2"/>
      <c r="AC50" s="2"/>
      <c r="AD50" s="2"/>
      <c r="AE50" s="2">
        <v>5</v>
      </c>
      <c r="AF50" s="37"/>
      <c r="AG50" s="37"/>
      <c r="AH50" s="113">
        <f>SUM(F50:AF51)</f>
        <v>45</v>
      </c>
      <c r="AI50" s="115" t="s">
        <v>108</v>
      </c>
    </row>
    <row r="51" spans="1:42" s="32" customFormat="1" ht="36.75" customHeight="1" x14ac:dyDescent="0.25">
      <c r="A51" s="100"/>
      <c r="B51" s="123"/>
      <c r="C51" s="132"/>
      <c r="D51" s="100"/>
      <c r="E51" s="2" t="s">
        <v>16</v>
      </c>
      <c r="F51" s="2"/>
      <c r="G51" s="2"/>
      <c r="H51" s="2"/>
      <c r="I51" s="2">
        <v>4</v>
      </c>
      <c r="J51" s="2">
        <v>4</v>
      </c>
      <c r="K51" s="37"/>
      <c r="L51" s="37"/>
      <c r="M51" s="2"/>
      <c r="N51" s="2"/>
      <c r="O51" s="2"/>
      <c r="P51" s="2">
        <v>4</v>
      </c>
      <c r="Q51" s="2">
        <v>4</v>
      </c>
      <c r="R51" s="37"/>
      <c r="S51" s="37"/>
      <c r="T51" s="2"/>
      <c r="U51" s="2"/>
      <c r="V51" s="2"/>
      <c r="W51" s="2">
        <v>4</v>
      </c>
      <c r="X51" s="2">
        <v>4</v>
      </c>
      <c r="Y51" s="37"/>
      <c r="Z51" s="37"/>
      <c r="AA51" s="2"/>
      <c r="AB51" s="2"/>
      <c r="AC51" s="2"/>
      <c r="AD51" s="2">
        <v>4</v>
      </c>
      <c r="AE51" s="2"/>
      <c r="AF51" s="37"/>
      <c r="AG51" s="37"/>
      <c r="AH51" s="114"/>
      <c r="AI51" s="116"/>
    </row>
    <row r="52" spans="1:42" s="32" customFormat="1" ht="27" customHeight="1" x14ac:dyDescent="0.25">
      <c r="A52" s="99" t="s">
        <v>109</v>
      </c>
      <c r="B52" s="124" t="s">
        <v>158</v>
      </c>
      <c r="C52" s="124" t="s">
        <v>35</v>
      </c>
      <c r="D52" s="99" t="s">
        <v>110</v>
      </c>
      <c r="E52" s="2" t="s">
        <v>17</v>
      </c>
      <c r="F52" s="2"/>
      <c r="G52" s="2"/>
      <c r="H52" s="2"/>
      <c r="I52" s="2"/>
      <c r="J52" s="2"/>
      <c r="K52" s="37"/>
      <c r="L52" s="37"/>
      <c r="M52" s="62"/>
      <c r="N52" s="62"/>
      <c r="O52" s="2"/>
      <c r="P52" s="2"/>
      <c r="Q52" s="2"/>
      <c r="R52" s="65">
        <v>4</v>
      </c>
      <c r="S52" s="37"/>
      <c r="T52" s="62"/>
      <c r="U52" s="62"/>
      <c r="V52" s="2"/>
      <c r="W52" s="2"/>
      <c r="X52" s="2"/>
      <c r="Y52" s="65">
        <v>4</v>
      </c>
      <c r="Z52" s="37"/>
      <c r="AA52" s="2"/>
      <c r="AB52" s="2"/>
      <c r="AC52" s="2"/>
      <c r="AD52" s="2"/>
      <c r="AE52" s="2"/>
      <c r="AF52" s="37">
        <v>5</v>
      </c>
      <c r="AG52" s="37"/>
      <c r="AH52" s="113">
        <f>SUM(F52:AF53)</f>
        <v>33</v>
      </c>
      <c r="AI52" s="126" t="s">
        <v>108</v>
      </c>
    </row>
    <row r="53" spans="1:42" s="32" customFormat="1" ht="27" customHeight="1" x14ac:dyDescent="0.25">
      <c r="A53" s="101"/>
      <c r="B53" s="133"/>
      <c r="C53" s="133"/>
      <c r="D53" s="100"/>
      <c r="E53" s="62" t="s">
        <v>16</v>
      </c>
      <c r="F53" s="62"/>
      <c r="G53" s="62"/>
      <c r="H53" s="62"/>
      <c r="I53" s="62"/>
      <c r="J53" s="62"/>
      <c r="K53" s="65"/>
      <c r="L53" s="65"/>
      <c r="M53" s="62"/>
      <c r="N53" s="62"/>
      <c r="O53" s="62"/>
      <c r="P53" s="62"/>
      <c r="Q53" s="62">
        <v>4</v>
      </c>
      <c r="R53" s="65">
        <v>4</v>
      </c>
      <c r="S53" s="65"/>
      <c r="T53" s="62"/>
      <c r="U53" s="62"/>
      <c r="V53" s="62"/>
      <c r="W53" s="62"/>
      <c r="X53" s="62">
        <v>4</v>
      </c>
      <c r="Y53" s="65">
        <v>4</v>
      </c>
      <c r="Z53" s="65"/>
      <c r="AA53" s="62"/>
      <c r="AB53" s="62"/>
      <c r="AC53" s="62"/>
      <c r="AD53" s="62"/>
      <c r="AE53" s="62">
        <v>4</v>
      </c>
      <c r="AF53" s="65"/>
      <c r="AG53" s="65"/>
      <c r="AH53" s="114"/>
      <c r="AI53" s="134"/>
    </row>
    <row r="54" spans="1:42" s="32" customFormat="1" ht="27" customHeight="1" x14ac:dyDescent="0.25">
      <c r="A54" s="100" t="s">
        <v>183</v>
      </c>
      <c r="B54" s="123" t="s">
        <v>171</v>
      </c>
      <c r="C54" s="99" t="s">
        <v>26</v>
      </c>
      <c r="D54" s="100"/>
      <c r="E54" s="2" t="s">
        <v>17</v>
      </c>
      <c r="F54" s="62"/>
      <c r="G54" s="62"/>
      <c r="H54" s="62"/>
      <c r="I54" s="62"/>
      <c r="J54" s="62"/>
      <c r="K54" s="65"/>
      <c r="L54" s="65"/>
      <c r="M54" s="62"/>
      <c r="N54" s="62"/>
      <c r="O54" s="2"/>
      <c r="P54" s="2"/>
      <c r="Q54" s="2"/>
      <c r="R54" s="65">
        <v>4</v>
      </c>
      <c r="S54" s="65"/>
      <c r="T54" s="62"/>
      <c r="U54" s="62"/>
      <c r="V54" s="2"/>
      <c r="W54" s="2"/>
      <c r="X54" s="2"/>
      <c r="Y54" s="65">
        <v>4</v>
      </c>
      <c r="Z54" s="65"/>
      <c r="AA54" s="62"/>
      <c r="AB54" s="62"/>
      <c r="AC54" s="2"/>
      <c r="AD54" s="2"/>
      <c r="AE54" s="2"/>
      <c r="AF54" s="65">
        <v>4</v>
      </c>
      <c r="AG54" s="65"/>
      <c r="AH54" s="113">
        <f>SUM(F54:AF55)</f>
        <v>36</v>
      </c>
      <c r="AI54" s="134">
        <v>36</v>
      </c>
    </row>
    <row r="55" spans="1:42" s="32" customFormat="1" ht="37.5" customHeight="1" x14ac:dyDescent="0.25">
      <c r="A55" s="101"/>
      <c r="B55" s="123"/>
      <c r="C55" s="101"/>
      <c r="D55" s="101"/>
      <c r="E55" s="62" t="s">
        <v>16</v>
      </c>
      <c r="F55" s="62"/>
      <c r="G55" s="62"/>
      <c r="H55" s="62"/>
      <c r="I55" s="62"/>
      <c r="J55" s="62"/>
      <c r="K55" s="65"/>
      <c r="L55" s="65"/>
      <c r="M55" s="62"/>
      <c r="N55" s="62"/>
      <c r="O55" s="62"/>
      <c r="P55" s="62"/>
      <c r="Q55" s="62">
        <v>4</v>
      </c>
      <c r="R55" s="65">
        <v>4</v>
      </c>
      <c r="S55" s="65"/>
      <c r="T55" s="62"/>
      <c r="U55" s="62"/>
      <c r="V55" s="62"/>
      <c r="W55" s="62"/>
      <c r="X55" s="62">
        <v>4</v>
      </c>
      <c r="Y55" s="65">
        <v>4</v>
      </c>
      <c r="Z55" s="65"/>
      <c r="AA55" s="62"/>
      <c r="AB55" s="62"/>
      <c r="AC55" s="62"/>
      <c r="AD55" s="62"/>
      <c r="AE55" s="62">
        <v>4</v>
      </c>
      <c r="AF55" s="65">
        <v>4</v>
      </c>
      <c r="AG55" s="65"/>
      <c r="AH55" s="114"/>
      <c r="AI55" s="135"/>
    </row>
    <row r="56" spans="1:42" s="32" customFormat="1" ht="28.5" customHeight="1" x14ac:dyDescent="0.25">
      <c r="A56" s="118" t="s">
        <v>170</v>
      </c>
      <c r="B56" s="123" t="s">
        <v>171</v>
      </c>
      <c r="C56" s="118" t="s">
        <v>94</v>
      </c>
      <c r="D56" s="118" t="s">
        <v>173</v>
      </c>
      <c r="E56" s="2" t="s">
        <v>17</v>
      </c>
      <c r="F56" s="2"/>
      <c r="G56" s="2"/>
      <c r="H56" s="2"/>
      <c r="I56" s="2"/>
      <c r="J56" s="2"/>
      <c r="K56" s="37"/>
      <c r="L56" s="37"/>
      <c r="M56" s="2"/>
      <c r="N56" s="2"/>
      <c r="O56" s="2"/>
      <c r="P56" s="2"/>
      <c r="Q56" s="2"/>
      <c r="R56" s="37">
        <v>4</v>
      </c>
      <c r="S56" s="37"/>
      <c r="T56" s="2"/>
      <c r="U56" s="2"/>
      <c r="V56" s="2"/>
      <c r="W56" s="2"/>
      <c r="X56" s="2"/>
      <c r="Y56" s="37">
        <v>4</v>
      </c>
      <c r="Z56" s="37"/>
      <c r="AA56" s="2"/>
      <c r="AB56" s="2"/>
      <c r="AC56" s="2"/>
      <c r="AD56" s="2"/>
      <c r="AE56" s="2"/>
      <c r="AF56" s="37">
        <v>4</v>
      </c>
      <c r="AG56" s="37"/>
      <c r="AH56" s="125">
        <f>SUM(F56:AF57)</f>
        <v>24</v>
      </c>
      <c r="AI56" s="127">
        <v>32</v>
      </c>
      <c r="AJ56" s="64"/>
      <c r="AK56" s="64"/>
      <c r="AL56" s="64"/>
      <c r="AM56" s="64"/>
      <c r="AN56" s="64"/>
      <c r="AO56" s="129">
        <v>15</v>
      </c>
      <c r="AP56" s="130" t="s">
        <v>144</v>
      </c>
    </row>
    <row r="57" spans="1:42" s="32" customFormat="1" ht="31.5" customHeight="1" x14ac:dyDescent="0.25">
      <c r="A57" s="118"/>
      <c r="B57" s="123"/>
      <c r="C57" s="118"/>
      <c r="D57" s="118"/>
      <c r="E57" s="2" t="s">
        <v>16</v>
      </c>
      <c r="F57" s="2"/>
      <c r="G57" s="2"/>
      <c r="H57" s="2"/>
      <c r="I57" s="2"/>
      <c r="J57" s="2"/>
      <c r="K57" s="37"/>
      <c r="L57" s="37"/>
      <c r="M57" s="2"/>
      <c r="N57" s="2"/>
      <c r="O57" s="2"/>
      <c r="P57" s="2"/>
      <c r="Q57" s="2"/>
      <c r="R57" s="37">
        <v>4</v>
      </c>
      <c r="S57" s="37"/>
      <c r="T57" s="2"/>
      <c r="U57" s="2"/>
      <c r="V57" s="2"/>
      <c r="W57" s="2"/>
      <c r="X57" s="2"/>
      <c r="Y57" s="37">
        <v>4</v>
      </c>
      <c r="Z57" s="37"/>
      <c r="AA57" s="2"/>
      <c r="AB57" s="2"/>
      <c r="AC57" s="2"/>
      <c r="AD57" s="2"/>
      <c r="AE57" s="2"/>
      <c r="AF57" s="37">
        <v>4</v>
      </c>
      <c r="AG57" s="37"/>
      <c r="AH57" s="125"/>
      <c r="AI57" s="128"/>
      <c r="AJ57" s="64"/>
      <c r="AK57" s="64"/>
      <c r="AL57" s="64"/>
      <c r="AM57" s="64"/>
      <c r="AN57" s="64"/>
      <c r="AO57" s="129"/>
      <c r="AP57" s="130"/>
    </row>
    <row r="58" spans="1:42" ht="27.75" customHeight="1" x14ac:dyDescent="0.3">
      <c r="A58" s="63"/>
      <c r="AB58" s="39" t="s">
        <v>182</v>
      </c>
      <c r="AG58" s="39"/>
    </row>
    <row r="59" spans="1:42" s="29" customFormat="1" x14ac:dyDescent="0.3">
      <c r="A59" s="63"/>
      <c r="B59" s="107" t="s">
        <v>12</v>
      </c>
      <c r="C59" s="107"/>
      <c r="D59" s="5"/>
      <c r="E59" s="29" t="s">
        <v>28</v>
      </c>
      <c r="AB59" s="5" t="s">
        <v>14</v>
      </c>
      <c r="AC59" s="5"/>
      <c r="AG59" s="5"/>
      <c r="AH59" s="4"/>
      <c r="AI59" s="55"/>
    </row>
    <row r="60" spans="1:42" x14ac:dyDescent="0.3">
      <c r="D60" s="4" t="s">
        <v>29</v>
      </c>
      <c r="AB60" s="29"/>
    </row>
    <row r="62" spans="1:42" ht="12.75" customHeight="1" x14ac:dyDescent="0.3"/>
    <row r="63" spans="1:42" ht="12" customHeight="1" x14ac:dyDescent="0.3"/>
    <row r="64" spans="1:42" ht="10.5" customHeight="1" x14ac:dyDescent="0.3"/>
    <row r="65" spans="1:35" x14ac:dyDescent="0.3">
      <c r="E65" s="29" t="s">
        <v>113</v>
      </c>
      <c r="K65" s="29"/>
      <c r="L65" s="29"/>
      <c r="M65" s="29"/>
      <c r="N65" s="29"/>
      <c r="O65" s="29"/>
      <c r="P65" s="29"/>
      <c r="Q65" s="29"/>
      <c r="R65" s="29"/>
      <c r="Y65" s="29" t="s">
        <v>22</v>
      </c>
      <c r="Z65" s="29"/>
      <c r="AA65" s="29"/>
      <c r="AB65" s="29"/>
      <c r="AC65" s="29"/>
      <c r="AD65" s="29"/>
      <c r="AE65" s="29"/>
      <c r="AF65" s="29"/>
      <c r="AG65" s="29"/>
    </row>
    <row r="67" spans="1:35" s="27" customFormat="1" ht="18" hidden="1" customHeight="1" x14ac:dyDescent="0.25">
      <c r="A67" s="108" t="s">
        <v>0</v>
      </c>
      <c r="B67" s="108"/>
      <c r="C67" s="108"/>
      <c r="D67" s="108"/>
      <c r="E67" s="3"/>
      <c r="P67" s="28" t="s">
        <v>1</v>
      </c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43"/>
      <c r="AI67" s="55"/>
    </row>
    <row r="68" spans="1:35" s="27" customFormat="1" ht="16.5" hidden="1" customHeight="1" x14ac:dyDescent="0.25">
      <c r="A68" s="109" t="s">
        <v>2</v>
      </c>
      <c r="B68" s="109"/>
      <c r="C68" s="109"/>
      <c r="D68" s="109"/>
      <c r="E68" s="3"/>
      <c r="L68" s="109" t="s">
        <v>3</v>
      </c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43"/>
      <c r="AI68" s="55"/>
    </row>
    <row r="69" spans="1:35" ht="16.5" hidden="1" customHeight="1" x14ac:dyDescent="0.3"/>
    <row r="70" spans="1:35" ht="16.5" hidden="1" customHeight="1" x14ac:dyDescent="0.3">
      <c r="A70" s="97" t="s">
        <v>20</v>
      </c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</row>
    <row r="71" spans="1:35" ht="16.5" hidden="1" customHeight="1" x14ac:dyDescent="0.3">
      <c r="A71" s="97" t="s">
        <v>24</v>
      </c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</row>
    <row r="72" spans="1:35" ht="16.5" hidden="1" customHeight="1" x14ac:dyDescent="0.3"/>
    <row r="73" spans="1:35" s="32" customFormat="1" ht="16.5" hidden="1" customHeight="1" x14ac:dyDescent="0.25">
      <c r="A73" s="102" t="s">
        <v>4</v>
      </c>
      <c r="B73" s="102" t="s">
        <v>5</v>
      </c>
      <c r="C73" s="103" t="s">
        <v>11</v>
      </c>
      <c r="D73" s="104"/>
      <c r="E73" s="105"/>
      <c r="F73" s="106">
        <v>1</v>
      </c>
      <c r="G73" s="106"/>
      <c r="H73" s="106"/>
      <c r="I73" s="106"/>
      <c r="J73" s="106"/>
      <c r="K73" s="106"/>
      <c r="L73" s="106"/>
      <c r="M73" s="106">
        <v>2</v>
      </c>
      <c r="N73" s="106"/>
      <c r="O73" s="106"/>
      <c r="P73" s="106"/>
      <c r="Q73" s="106"/>
      <c r="R73" s="106"/>
      <c r="S73" s="106"/>
      <c r="T73" s="106">
        <v>3</v>
      </c>
      <c r="U73" s="106"/>
      <c r="V73" s="106"/>
      <c r="W73" s="106"/>
      <c r="X73" s="106"/>
      <c r="Y73" s="106"/>
      <c r="Z73" s="106"/>
      <c r="AA73" s="106">
        <v>4</v>
      </c>
      <c r="AB73" s="106"/>
      <c r="AC73" s="106"/>
      <c r="AD73" s="106"/>
      <c r="AE73" s="106"/>
      <c r="AF73" s="106"/>
      <c r="AG73" s="106"/>
      <c r="AH73" s="104"/>
      <c r="AI73" s="105"/>
    </row>
    <row r="74" spans="1:35" s="32" customFormat="1" ht="16.5" hidden="1" customHeight="1" x14ac:dyDescent="0.25">
      <c r="A74" s="102"/>
      <c r="B74" s="102"/>
      <c r="C74" s="103" t="s">
        <v>10</v>
      </c>
      <c r="D74" s="104"/>
      <c r="E74" s="105"/>
      <c r="F74" s="1">
        <v>30</v>
      </c>
      <c r="G74" s="1">
        <v>1</v>
      </c>
      <c r="H74" s="1">
        <v>2</v>
      </c>
      <c r="I74" s="1">
        <v>3</v>
      </c>
      <c r="J74" s="1">
        <v>4</v>
      </c>
      <c r="K74" s="1">
        <v>5</v>
      </c>
      <c r="L74" s="33">
        <v>6</v>
      </c>
      <c r="M74" s="1">
        <v>7</v>
      </c>
      <c r="N74" s="1">
        <v>8</v>
      </c>
      <c r="O74" s="1">
        <v>9</v>
      </c>
      <c r="P74" s="1">
        <v>10</v>
      </c>
      <c r="Q74" s="1">
        <v>11</v>
      </c>
      <c r="R74" s="33">
        <v>12</v>
      </c>
      <c r="S74" s="33">
        <v>13</v>
      </c>
      <c r="T74" s="1">
        <v>14</v>
      </c>
      <c r="U74" s="1">
        <v>15</v>
      </c>
      <c r="V74" s="1">
        <v>16</v>
      </c>
      <c r="W74" s="1">
        <v>17</v>
      </c>
      <c r="X74" s="1">
        <v>18</v>
      </c>
      <c r="Y74" s="33">
        <v>19</v>
      </c>
      <c r="Z74" s="33">
        <v>20</v>
      </c>
      <c r="AA74" s="1">
        <v>21</v>
      </c>
      <c r="AB74" s="1">
        <v>22</v>
      </c>
      <c r="AC74" s="1">
        <v>23</v>
      </c>
      <c r="AD74" s="1">
        <v>24</v>
      </c>
      <c r="AE74" s="1">
        <v>25</v>
      </c>
      <c r="AF74" s="1">
        <v>26</v>
      </c>
      <c r="AG74" s="1">
        <v>27</v>
      </c>
      <c r="AH74" s="42">
        <v>29</v>
      </c>
      <c r="AI74" s="60">
        <v>30</v>
      </c>
    </row>
    <row r="75" spans="1:35" s="32" customFormat="1" ht="16.5" hidden="1" customHeight="1" x14ac:dyDescent="0.25">
      <c r="A75" s="102"/>
      <c r="B75" s="102"/>
      <c r="C75" s="1" t="s">
        <v>6</v>
      </c>
      <c r="D75" s="1" t="s">
        <v>19</v>
      </c>
      <c r="E75" s="1" t="s">
        <v>18</v>
      </c>
      <c r="F75" s="1">
        <v>2</v>
      </c>
      <c r="G75" s="1">
        <v>3</v>
      </c>
      <c r="H75" s="1">
        <v>4</v>
      </c>
      <c r="I75" s="1">
        <v>5</v>
      </c>
      <c r="J75" s="1">
        <v>6</v>
      </c>
      <c r="K75" s="1">
        <v>7</v>
      </c>
      <c r="L75" s="33" t="s">
        <v>7</v>
      </c>
      <c r="M75" s="1">
        <v>2</v>
      </c>
      <c r="N75" s="1">
        <v>3</v>
      </c>
      <c r="O75" s="1">
        <v>4</v>
      </c>
      <c r="P75" s="1">
        <v>5</v>
      </c>
      <c r="Q75" s="1">
        <v>6</v>
      </c>
      <c r="R75" s="33">
        <v>7</v>
      </c>
      <c r="S75" s="33" t="s">
        <v>7</v>
      </c>
      <c r="T75" s="1">
        <v>2</v>
      </c>
      <c r="U75" s="1">
        <v>3</v>
      </c>
      <c r="V75" s="1">
        <v>4</v>
      </c>
      <c r="W75" s="1">
        <v>5</v>
      </c>
      <c r="X75" s="1">
        <v>6</v>
      </c>
      <c r="Y75" s="33">
        <v>7</v>
      </c>
      <c r="Z75" s="33" t="s">
        <v>7</v>
      </c>
      <c r="AA75" s="1">
        <v>2</v>
      </c>
      <c r="AB75" s="1">
        <v>3</v>
      </c>
      <c r="AC75" s="1">
        <v>4</v>
      </c>
      <c r="AD75" s="1">
        <v>5</v>
      </c>
      <c r="AE75" s="1">
        <v>6</v>
      </c>
      <c r="AF75" s="33">
        <v>7</v>
      </c>
      <c r="AG75" s="33" t="s">
        <v>7</v>
      </c>
      <c r="AH75" s="42">
        <v>3</v>
      </c>
      <c r="AI75" s="60">
        <v>4</v>
      </c>
    </row>
    <row r="76" spans="1:35" s="32" customFormat="1" ht="16.5" hidden="1" customHeight="1" x14ac:dyDescent="0.25">
      <c r="A76" s="99" t="s">
        <v>90</v>
      </c>
      <c r="B76" s="34" t="s">
        <v>26</v>
      </c>
      <c r="C76" s="35" t="s">
        <v>30</v>
      </c>
      <c r="D76" s="36" t="s">
        <v>85</v>
      </c>
      <c r="E76" s="2" t="s">
        <v>15</v>
      </c>
      <c r="F76" s="1">
        <v>4</v>
      </c>
      <c r="G76" s="1">
        <v>4</v>
      </c>
      <c r="H76" s="1"/>
      <c r="I76" s="1"/>
      <c r="J76" s="1"/>
      <c r="K76" s="34"/>
      <c r="L76" s="34"/>
      <c r="M76" s="34">
        <v>4</v>
      </c>
      <c r="N76" s="34"/>
      <c r="O76" s="34"/>
      <c r="P76" s="34"/>
      <c r="Q76" s="34"/>
      <c r="R76" s="34"/>
      <c r="S76" s="34"/>
      <c r="T76" s="34">
        <v>4</v>
      </c>
      <c r="U76" s="34">
        <v>4</v>
      </c>
      <c r="V76" s="34"/>
      <c r="W76" s="34"/>
      <c r="X76" s="34"/>
      <c r="Y76" s="34"/>
      <c r="Z76" s="34"/>
      <c r="AA76" s="34">
        <v>4</v>
      </c>
      <c r="AB76" s="34">
        <v>4</v>
      </c>
      <c r="AC76" s="34"/>
      <c r="AD76" s="34"/>
      <c r="AE76" s="34"/>
      <c r="AF76" s="34"/>
      <c r="AG76" s="34"/>
      <c r="AH76" s="42">
        <v>4</v>
      </c>
      <c r="AI76" s="60"/>
    </row>
    <row r="77" spans="1:35" s="32" customFormat="1" ht="16.5" hidden="1" customHeight="1" x14ac:dyDescent="0.25">
      <c r="A77" s="100"/>
      <c r="B77" s="38" t="s">
        <v>31</v>
      </c>
      <c r="C77" s="35" t="s">
        <v>32</v>
      </c>
      <c r="D77" s="36" t="s">
        <v>85</v>
      </c>
      <c r="E77" s="2" t="s">
        <v>15</v>
      </c>
      <c r="F77" s="1"/>
      <c r="G77" s="1"/>
      <c r="H77" s="1"/>
      <c r="I77" s="1"/>
      <c r="J77" s="1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42"/>
      <c r="AI77" s="60"/>
    </row>
    <row r="78" spans="1:35" s="32" customFormat="1" ht="16.5" hidden="1" customHeight="1" x14ac:dyDescent="0.25">
      <c r="A78" s="100"/>
      <c r="B78" s="38" t="s">
        <v>35</v>
      </c>
      <c r="C78" s="35" t="s">
        <v>36</v>
      </c>
      <c r="D78" s="36" t="s">
        <v>85</v>
      </c>
      <c r="E78" s="2" t="s">
        <v>15</v>
      </c>
      <c r="F78" s="1"/>
      <c r="G78" s="1"/>
      <c r="H78" s="1"/>
      <c r="I78" s="1"/>
      <c r="J78" s="1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42"/>
      <c r="AI78" s="60"/>
    </row>
    <row r="79" spans="1:35" s="32" customFormat="1" ht="16.5" hidden="1" customHeight="1" x14ac:dyDescent="0.25">
      <c r="A79" s="101"/>
      <c r="B79" s="34" t="s">
        <v>26</v>
      </c>
      <c r="C79" s="35" t="s">
        <v>27</v>
      </c>
      <c r="D79" s="36" t="s">
        <v>85</v>
      </c>
      <c r="E79" s="2" t="s">
        <v>37</v>
      </c>
      <c r="F79" s="1">
        <v>1</v>
      </c>
      <c r="G79" s="1"/>
      <c r="H79" s="1"/>
      <c r="I79" s="1"/>
      <c r="J79" s="1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42"/>
      <c r="AI79" s="60"/>
    </row>
    <row r="80" spans="1:35" s="32" customFormat="1" ht="16.5" hidden="1" customHeight="1" x14ac:dyDescent="0.25">
      <c r="A80" s="99" t="s">
        <v>89</v>
      </c>
      <c r="B80" s="34" t="s">
        <v>26</v>
      </c>
      <c r="C80" s="35" t="s">
        <v>30</v>
      </c>
      <c r="D80" s="36" t="s">
        <v>85</v>
      </c>
      <c r="E80" s="2" t="s">
        <v>15</v>
      </c>
      <c r="F80" s="1">
        <v>4</v>
      </c>
      <c r="G80" s="1">
        <v>4</v>
      </c>
      <c r="H80" s="1"/>
      <c r="I80" s="1"/>
      <c r="J80" s="1"/>
      <c r="K80" s="34"/>
      <c r="L80" s="34"/>
      <c r="M80" s="34">
        <v>4</v>
      </c>
      <c r="N80" s="34"/>
      <c r="O80" s="34"/>
      <c r="P80" s="34"/>
      <c r="Q80" s="34"/>
      <c r="R80" s="34"/>
      <c r="S80" s="34"/>
      <c r="T80" s="34">
        <v>4</v>
      </c>
      <c r="U80" s="34">
        <v>4</v>
      </c>
      <c r="V80" s="34"/>
      <c r="W80" s="34"/>
      <c r="X80" s="34"/>
      <c r="Y80" s="34"/>
      <c r="Z80" s="34"/>
      <c r="AA80" s="34">
        <v>4</v>
      </c>
      <c r="AB80" s="34">
        <v>4</v>
      </c>
      <c r="AC80" s="34"/>
      <c r="AD80" s="34"/>
      <c r="AE80" s="34"/>
      <c r="AF80" s="34"/>
      <c r="AG80" s="34"/>
      <c r="AH80" s="42">
        <v>4</v>
      </c>
      <c r="AI80" s="60"/>
    </row>
    <row r="81" spans="1:35" s="32" customFormat="1" ht="16.5" hidden="1" customHeight="1" x14ac:dyDescent="0.25">
      <c r="A81" s="100"/>
      <c r="B81" s="38" t="s">
        <v>31</v>
      </c>
      <c r="C81" s="35" t="s">
        <v>32</v>
      </c>
      <c r="D81" s="36" t="s">
        <v>85</v>
      </c>
      <c r="E81" s="2" t="s">
        <v>15</v>
      </c>
      <c r="F81" s="1"/>
      <c r="G81" s="1"/>
      <c r="H81" s="1"/>
      <c r="I81" s="1"/>
      <c r="J81" s="1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42"/>
      <c r="AI81" s="60"/>
    </row>
    <row r="82" spans="1:35" s="32" customFormat="1" ht="16.5" hidden="1" customHeight="1" x14ac:dyDescent="0.25">
      <c r="A82" s="100"/>
      <c r="B82" s="38" t="s">
        <v>33</v>
      </c>
      <c r="C82" s="35" t="s">
        <v>34</v>
      </c>
      <c r="D82" s="36" t="s">
        <v>92</v>
      </c>
      <c r="E82" s="2" t="s">
        <v>15</v>
      </c>
      <c r="F82" s="1"/>
      <c r="G82" s="1"/>
      <c r="H82" s="1"/>
      <c r="I82" s="1"/>
      <c r="J82" s="1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42"/>
      <c r="AI82" s="60"/>
    </row>
    <row r="83" spans="1:35" s="32" customFormat="1" ht="16.5" hidden="1" customHeight="1" x14ac:dyDescent="0.25">
      <c r="A83" s="101"/>
      <c r="B83" s="34" t="s">
        <v>26</v>
      </c>
      <c r="C83" s="35" t="s">
        <v>27</v>
      </c>
      <c r="D83" s="36" t="s">
        <v>85</v>
      </c>
      <c r="E83" s="2" t="s">
        <v>37</v>
      </c>
      <c r="F83" s="1">
        <v>1</v>
      </c>
      <c r="G83" s="1"/>
      <c r="H83" s="1"/>
      <c r="I83" s="1"/>
      <c r="J83" s="1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42"/>
      <c r="AI83" s="60"/>
    </row>
    <row r="84" spans="1:35" s="32" customFormat="1" ht="16.5" hidden="1" customHeight="1" x14ac:dyDescent="0.25">
      <c r="A84" s="31"/>
      <c r="B84" s="31"/>
      <c r="C84" s="1"/>
      <c r="D84" s="1"/>
      <c r="E84" s="1"/>
      <c r="F84" s="1"/>
      <c r="G84" s="1"/>
      <c r="H84" s="1"/>
      <c r="I84" s="1"/>
      <c r="J84" s="1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42"/>
      <c r="AI84" s="60"/>
    </row>
    <row r="85" spans="1:35" s="32" customFormat="1" ht="16.5" hidden="1" customHeight="1" x14ac:dyDescent="0.25">
      <c r="A85" s="31"/>
      <c r="B85" s="31"/>
      <c r="C85" s="1"/>
      <c r="D85" s="1"/>
      <c r="E85" s="1"/>
      <c r="F85" s="1"/>
      <c r="G85" s="1"/>
      <c r="H85" s="1"/>
      <c r="I85" s="1"/>
      <c r="J85" s="1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42"/>
      <c r="AI85" s="60"/>
    </row>
    <row r="86" spans="1:35" s="32" customFormat="1" ht="16.5" hidden="1" customHeight="1" x14ac:dyDescent="0.25">
      <c r="A86" s="31"/>
      <c r="B86" s="31"/>
      <c r="C86" s="1"/>
      <c r="D86" s="1"/>
      <c r="E86" s="1"/>
      <c r="F86" s="1"/>
      <c r="G86" s="1"/>
      <c r="H86" s="1"/>
      <c r="I86" s="1"/>
      <c r="J86" s="1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42"/>
      <c r="AI86" s="60"/>
    </row>
    <row r="87" spans="1:35" s="32" customFormat="1" ht="16.5" hidden="1" customHeight="1" x14ac:dyDescent="0.25">
      <c r="A87" s="31"/>
      <c r="B87" s="31"/>
      <c r="C87" s="1"/>
      <c r="D87" s="1"/>
      <c r="E87" s="1"/>
      <c r="F87" s="1"/>
      <c r="G87" s="1"/>
      <c r="H87" s="1"/>
      <c r="I87" s="1"/>
      <c r="J87" s="1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42"/>
      <c r="AI87" s="60"/>
    </row>
    <row r="88" spans="1:35" s="32" customFormat="1" ht="16.5" hidden="1" customHeight="1" x14ac:dyDescent="0.25">
      <c r="A88" s="31"/>
      <c r="B88" s="31"/>
      <c r="C88" s="1"/>
      <c r="D88" s="1"/>
      <c r="E88" s="1"/>
      <c r="F88" s="1"/>
      <c r="G88" s="1"/>
      <c r="H88" s="1"/>
      <c r="I88" s="1"/>
      <c r="J88" s="1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42"/>
      <c r="AI88" s="60"/>
    </row>
    <row r="89" spans="1:35" s="32" customFormat="1" ht="16.5" hidden="1" customHeight="1" x14ac:dyDescent="0.25">
      <c r="A89" s="31"/>
      <c r="B89" s="31"/>
      <c r="C89" s="1"/>
      <c r="D89" s="1"/>
      <c r="E89" s="1"/>
      <c r="F89" s="1"/>
      <c r="G89" s="1"/>
      <c r="H89" s="1"/>
      <c r="I89" s="1"/>
      <c r="J89" s="1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42"/>
      <c r="AI89" s="60"/>
    </row>
    <row r="90" spans="1:35" s="32" customFormat="1" ht="16.5" hidden="1" customHeight="1" x14ac:dyDescent="0.25">
      <c r="A90" s="31"/>
      <c r="B90" s="31"/>
      <c r="C90" s="1"/>
      <c r="D90" s="1"/>
      <c r="E90" s="1"/>
      <c r="F90" s="1"/>
      <c r="G90" s="1"/>
      <c r="H90" s="1"/>
      <c r="I90" s="1"/>
      <c r="J90" s="1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42"/>
      <c r="AI90" s="60"/>
    </row>
    <row r="91" spans="1:35" s="32" customFormat="1" ht="16.5" hidden="1" customHeight="1" x14ac:dyDescent="0.25">
      <c r="A91" s="31"/>
      <c r="B91" s="31"/>
      <c r="C91" s="1"/>
      <c r="D91" s="1"/>
      <c r="E91" s="1"/>
      <c r="F91" s="1"/>
      <c r="G91" s="1"/>
      <c r="H91" s="1"/>
      <c r="I91" s="1"/>
      <c r="J91" s="1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42"/>
      <c r="AI91" s="60"/>
    </row>
    <row r="92" spans="1:35" s="32" customFormat="1" ht="16.5" hidden="1" customHeight="1" x14ac:dyDescent="0.25">
      <c r="A92" s="31"/>
      <c r="B92" s="31"/>
      <c r="C92" s="1"/>
      <c r="D92" s="1"/>
      <c r="E92" s="1"/>
      <c r="F92" s="1"/>
      <c r="G92" s="1"/>
      <c r="H92" s="1"/>
      <c r="I92" s="1"/>
      <c r="J92" s="1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42"/>
      <c r="AI92" s="60"/>
    </row>
    <row r="93" spans="1:35" s="32" customFormat="1" ht="16.5" hidden="1" customHeight="1" x14ac:dyDescent="0.25">
      <c r="A93" s="31"/>
      <c r="B93" s="31"/>
      <c r="C93" s="1"/>
      <c r="D93" s="1"/>
      <c r="E93" s="1"/>
      <c r="F93" s="1"/>
      <c r="G93" s="1"/>
      <c r="H93" s="1"/>
      <c r="I93" s="1"/>
      <c r="J93" s="1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42"/>
      <c r="AI93" s="60"/>
    </row>
    <row r="94" spans="1:35" s="32" customFormat="1" ht="16.5" hidden="1" customHeight="1" x14ac:dyDescent="0.25">
      <c r="A94" s="31"/>
      <c r="B94" s="31"/>
      <c r="C94" s="1"/>
      <c r="D94" s="1"/>
      <c r="E94" s="1"/>
      <c r="F94" s="1"/>
      <c r="G94" s="1"/>
      <c r="H94" s="1"/>
      <c r="I94" s="1"/>
      <c r="J94" s="1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42"/>
      <c r="AI94" s="60"/>
    </row>
    <row r="95" spans="1:35" s="32" customFormat="1" ht="16.5" hidden="1" customHeight="1" x14ac:dyDescent="0.25">
      <c r="A95" s="31"/>
      <c r="B95" s="31"/>
      <c r="C95" s="1"/>
      <c r="D95" s="1"/>
      <c r="E95" s="1"/>
      <c r="F95" s="1"/>
      <c r="G95" s="1"/>
      <c r="H95" s="1"/>
      <c r="I95" s="1"/>
      <c r="J95" s="1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42"/>
      <c r="AI95" s="60"/>
    </row>
    <row r="96" spans="1:35" s="32" customFormat="1" ht="16.5" hidden="1" customHeight="1" x14ac:dyDescent="0.25">
      <c r="A96" s="31"/>
      <c r="B96" s="31"/>
      <c r="C96" s="1"/>
      <c r="D96" s="1"/>
      <c r="E96" s="1"/>
      <c r="F96" s="1"/>
      <c r="G96" s="1"/>
      <c r="H96" s="1"/>
      <c r="I96" s="1"/>
      <c r="J96" s="1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42"/>
      <c r="AI96" s="60"/>
    </row>
    <row r="97" spans="1:35" s="32" customFormat="1" ht="16.5" hidden="1" customHeight="1" x14ac:dyDescent="0.25">
      <c r="A97" s="40"/>
      <c r="B97" s="38"/>
      <c r="C97" s="40"/>
      <c r="D97" s="36"/>
      <c r="E97" s="2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2"/>
      <c r="AI97" s="56"/>
    </row>
    <row r="98" spans="1:35" s="32" customFormat="1" ht="16.5" hidden="1" customHeight="1" x14ac:dyDescent="0.25">
      <c r="A98" s="40"/>
      <c r="B98" s="38"/>
      <c r="C98" s="35"/>
      <c r="D98" s="36"/>
      <c r="E98" s="2"/>
      <c r="F98" s="34"/>
      <c r="G98" s="34"/>
      <c r="H98" s="34"/>
      <c r="I98" s="34"/>
      <c r="J98" s="34"/>
      <c r="K98" s="34"/>
      <c r="L98" s="34"/>
      <c r="M98" s="34" t="s">
        <v>9</v>
      </c>
      <c r="N98" s="34"/>
      <c r="O98" s="34"/>
      <c r="P98" s="34"/>
      <c r="Q98" s="34"/>
      <c r="R98" s="34"/>
      <c r="S98" s="34"/>
      <c r="T98" s="34" t="s">
        <v>9</v>
      </c>
      <c r="U98" s="34"/>
      <c r="V98" s="34"/>
      <c r="W98" s="34"/>
      <c r="X98" s="34"/>
      <c r="Y98" s="34"/>
      <c r="Z98" s="34"/>
      <c r="AA98" s="34" t="s">
        <v>9</v>
      </c>
      <c r="AB98" s="34"/>
      <c r="AC98" s="34"/>
      <c r="AD98" s="34"/>
      <c r="AE98" s="34"/>
      <c r="AF98" s="34"/>
      <c r="AG98" s="34"/>
      <c r="AH98" s="2"/>
      <c r="AI98" s="56" t="s">
        <v>9</v>
      </c>
    </row>
    <row r="99" spans="1:35" hidden="1" x14ac:dyDescent="0.3"/>
    <row r="100" spans="1:35" hidden="1" x14ac:dyDescent="0.3">
      <c r="AB100" s="39" t="s">
        <v>21</v>
      </c>
    </row>
    <row r="101" spans="1:35" s="29" customFormat="1" ht="18" hidden="1" customHeight="1" x14ac:dyDescent="0.3">
      <c r="B101" s="110" t="s">
        <v>12</v>
      </c>
      <c r="C101" s="110"/>
      <c r="D101" s="5"/>
      <c r="E101" s="5"/>
      <c r="I101" s="97" t="s">
        <v>13</v>
      </c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AC101" s="5" t="s">
        <v>14</v>
      </c>
      <c r="AH101" s="4"/>
      <c r="AI101" s="55"/>
    </row>
    <row r="102" spans="1:35" hidden="1" x14ac:dyDescent="0.3">
      <c r="AB102" s="29"/>
    </row>
    <row r="103" spans="1:35" hidden="1" x14ac:dyDescent="0.3"/>
    <row r="104" spans="1:35" hidden="1" x14ac:dyDescent="0.3"/>
    <row r="105" spans="1:35" hidden="1" x14ac:dyDescent="0.3"/>
    <row r="106" spans="1:35" hidden="1" x14ac:dyDescent="0.3"/>
    <row r="107" spans="1:35" hidden="1" x14ac:dyDescent="0.3">
      <c r="K107" s="97" t="s">
        <v>23</v>
      </c>
      <c r="L107" s="97"/>
      <c r="M107" s="97"/>
      <c r="N107" s="97"/>
      <c r="O107" s="97"/>
      <c r="P107" s="97"/>
      <c r="Q107" s="97"/>
      <c r="R107" s="97"/>
      <c r="AA107" s="29" t="s">
        <v>22</v>
      </c>
    </row>
  </sheetData>
  <autoFilter ref="A9:AP60" xr:uid="{6FB2AEEE-A2C7-4A34-8034-E5F0271C9448}"/>
  <mergeCells count="83">
    <mergeCell ref="A1:D1"/>
    <mergeCell ref="L1:AF1"/>
    <mergeCell ref="A2:D2"/>
    <mergeCell ref="L2:AF2"/>
    <mergeCell ref="A4:AI4"/>
    <mergeCell ref="A10:A15"/>
    <mergeCell ref="A7:A9"/>
    <mergeCell ref="B7:B9"/>
    <mergeCell ref="C7:E7"/>
    <mergeCell ref="F7:L7"/>
    <mergeCell ref="A5:AI5"/>
    <mergeCell ref="AA7:AG7"/>
    <mergeCell ref="AH7:AH9"/>
    <mergeCell ref="AI7:AI9"/>
    <mergeCell ref="C8:E8"/>
    <mergeCell ref="M7:S7"/>
    <mergeCell ref="T7:Z7"/>
    <mergeCell ref="A37:A42"/>
    <mergeCell ref="A32:A36"/>
    <mergeCell ref="A16:A19"/>
    <mergeCell ref="A20:A23"/>
    <mergeCell ref="A24:A26"/>
    <mergeCell ref="A27:A31"/>
    <mergeCell ref="A71:AI71"/>
    <mergeCell ref="AH52:AH53"/>
    <mergeCell ref="B52:B53"/>
    <mergeCell ref="C52:C53"/>
    <mergeCell ref="AI52:AI53"/>
    <mergeCell ref="B59:C59"/>
    <mergeCell ref="A67:D67"/>
    <mergeCell ref="A68:D68"/>
    <mergeCell ref="L68:AG68"/>
    <mergeCell ref="A70:AI70"/>
    <mergeCell ref="A54:A55"/>
    <mergeCell ref="AH54:AH55"/>
    <mergeCell ref="B54:B55"/>
    <mergeCell ref="C54:C55"/>
    <mergeCell ref="AI54:AI55"/>
    <mergeCell ref="A52:A53"/>
    <mergeCell ref="K107:R107"/>
    <mergeCell ref="AA73:AG73"/>
    <mergeCell ref="AH73:AI73"/>
    <mergeCell ref="C74:E74"/>
    <mergeCell ref="A76:A79"/>
    <mergeCell ref="A80:A83"/>
    <mergeCell ref="B101:C101"/>
    <mergeCell ref="I101:T101"/>
    <mergeCell ref="A73:A75"/>
    <mergeCell ref="B73:B75"/>
    <mergeCell ref="C73:E73"/>
    <mergeCell ref="F73:L73"/>
    <mergeCell ref="M73:S73"/>
    <mergeCell ref="T73:Z73"/>
    <mergeCell ref="A43:A46"/>
    <mergeCell ref="B43:B44"/>
    <mergeCell ref="C43:C44"/>
    <mergeCell ref="D43:D46"/>
    <mergeCell ref="AH43:AH44"/>
    <mergeCell ref="B45:B46"/>
    <mergeCell ref="C45:C46"/>
    <mergeCell ref="AH45:AH46"/>
    <mergeCell ref="B50:B51"/>
    <mergeCell ref="A50:A51"/>
    <mergeCell ref="D48:D51"/>
    <mergeCell ref="A48:A49"/>
    <mergeCell ref="B48:B49"/>
    <mergeCell ref="C48:C49"/>
    <mergeCell ref="AO56:AO57"/>
    <mergeCell ref="D52:D55"/>
    <mergeCell ref="AP56:AP57"/>
    <mergeCell ref="AI43:AI44"/>
    <mergeCell ref="C50:C51"/>
    <mergeCell ref="AH50:AH51"/>
    <mergeCell ref="AI50:AI51"/>
    <mergeCell ref="AI48:AI49"/>
    <mergeCell ref="AI45:AI46"/>
    <mergeCell ref="AH48:AH49"/>
    <mergeCell ref="A56:A57"/>
    <mergeCell ref="D56:D57"/>
    <mergeCell ref="AH56:AH57"/>
    <mergeCell ref="AI56:AI57"/>
    <mergeCell ref="B56:B57"/>
    <mergeCell ref="C56:C57"/>
  </mergeCells>
  <pageMargins left="0.2" right="0.1" top="0.511811023622047" bottom="0.511811023622047" header="0.31496062992126" footer="0.31496062992126"/>
  <pageSetup paperSize="9" scale="86" orientation="landscape" verticalDpi="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5258-2267-4863-9BAB-646687AAA317}">
  <dimension ref="A1:AP73"/>
  <sheetViews>
    <sheetView topLeftCell="A8" zoomScale="118" zoomScaleNormal="118" workbookViewId="0">
      <selection activeCell="E14" sqref="E14"/>
    </sheetView>
  </sheetViews>
  <sheetFormatPr defaultRowHeight="18.75" x14ac:dyDescent="0.3"/>
  <cols>
    <col min="1" max="1" width="10.6640625" style="30" customWidth="1"/>
    <col min="2" max="2" width="15.21875" style="30" customWidth="1"/>
    <col min="3" max="3" width="15" style="30" customWidth="1"/>
    <col min="4" max="4" width="7.44140625" style="4" customWidth="1"/>
    <col min="5" max="5" width="6.44140625" style="4" customWidth="1"/>
    <col min="6" max="10" width="2.33203125" style="30" customWidth="1"/>
    <col min="11" max="11" width="2.21875" style="30" customWidth="1"/>
    <col min="12" max="33" width="2.33203125" style="30" customWidth="1"/>
    <col min="34" max="34" width="3.6640625" style="4" customWidth="1"/>
    <col min="35" max="35" width="5.44140625" style="55" customWidth="1"/>
    <col min="36" max="16384" width="8.88671875" style="30"/>
  </cols>
  <sheetData>
    <row r="1" spans="1:42" s="27" customFormat="1" ht="18" customHeight="1" x14ac:dyDescent="0.25">
      <c r="A1" s="98" t="s">
        <v>96</v>
      </c>
      <c r="B1" s="98"/>
      <c r="C1" s="98"/>
      <c r="D1" s="98"/>
      <c r="E1" s="3"/>
      <c r="L1" s="121" t="s">
        <v>1</v>
      </c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28"/>
      <c r="AH1" s="43"/>
      <c r="AI1" s="55"/>
    </row>
    <row r="2" spans="1:42" s="27" customFormat="1" ht="16.5" customHeight="1" x14ac:dyDescent="0.3">
      <c r="A2" s="97" t="s">
        <v>106</v>
      </c>
      <c r="B2" s="97"/>
      <c r="C2" s="97"/>
      <c r="D2" s="97"/>
      <c r="E2" s="3"/>
      <c r="L2" s="97" t="s">
        <v>3</v>
      </c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29"/>
      <c r="AH2" s="43"/>
      <c r="AI2" s="55"/>
    </row>
    <row r="3" spans="1:42" ht="12" customHeight="1" x14ac:dyDescent="0.3"/>
    <row r="4" spans="1:42" ht="18.75" customHeight="1" x14ac:dyDescent="0.3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</row>
    <row r="5" spans="1:42" ht="16.5" customHeight="1" x14ac:dyDescent="0.3">
      <c r="A5" s="97" t="s">
        <v>169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</row>
    <row r="6" spans="1:42" ht="1.5" customHeight="1" x14ac:dyDescent="0.3"/>
    <row r="7" spans="1:42" s="32" customFormat="1" ht="16.5" customHeight="1" x14ac:dyDescent="0.25">
      <c r="A7" s="102" t="s">
        <v>4</v>
      </c>
      <c r="B7" s="102" t="s">
        <v>6</v>
      </c>
      <c r="C7" s="106" t="s">
        <v>11</v>
      </c>
      <c r="D7" s="106"/>
      <c r="E7" s="106"/>
      <c r="F7" s="106">
        <v>1</v>
      </c>
      <c r="G7" s="106"/>
      <c r="H7" s="106"/>
      <c r="I7" s="106"/>
      <c r="J7" s="106"/>
      <c r="K7" s="106"/>
      <c r="L7" s="106"/>
      <c r="M7" s="106">
        <v>2</v>
      </c>
      <c r="N7" s="106"/>
      <c r="O7" s="106"/>
      <c r="P7" s="106"/>
      <c r="Q7" s="106"/>
      <c r="R7" s="106"/>
      <c r="S7" s="106"/>
      <c r="T7" s="106">
        <v>3</v>
      </c>
      <c r="U7" s="106"/>
      <c r="V7" s="106"/>
      <c r="W7" s="106"/>
      <c r="X7" s="106"/>
      <c r="Y7" s="106"/>
      <c r="Z7" s="106"/>
      <c r="AA7" s="106">
        <v>4</v>
      </c>
      <c r="AB7" s="106"/>
      <c r="AC7" s="106"/>
      <c r="AD7" s="106"/>
      <c r="AE7" s="106"/>
      <c r="AF7" s="106"/>
      <c r="AG7" s="106"/>
      <c r="AH7" s="119" t="s">
        <v>8</v>
      </c>
      <c r="AI7" s="120" t="s">
        <v>41</v>
      </c>
    </row>
    <row r="8" spans="1:42" s="32" customFormat="1" ht="16.5" customHeight="1" x14ac:dyDescent="0.25">
      <c r="A8" s="102"/>
      <c r="B8" s="102"/>
      <c r="C8" s="106" t="s">
        <v>10</v>
      </c>
      <c r="D8" s="106"/>
      <c r="E8" s="106"/>
      <c r="F8" s="1">
        <v>5</v>
      </c>
      <c r="G8" s="1">
        <v>6</v>
      </c>
      <c r="H8" s="1">
        <v>7</v>
      </c>
      <c r="I8" s="1">
        <v>8</v>
      </c>
      <c r="J8" s="1">
        <v>9</v>
      </c>
      <c r="K8" s="33">
        <v>10</v>
      </c>
      <c r="L8" s="33">
        <v>11</v>
      </c>
      <c r="M8" s="1">
        <v>12</v>
      </c>
      <c r="N8" s="1">
        <v>13</v>
      </c>
      <c r="O8" s="1">
        <v>14</v>
      </c>
      <c r="P8" s="1">
        <v>15</v>
      </c>
      <c r="Q8" s="1">
        <v>16</v>
      </c>
      <c r="R8" s="33">
        <v>17</v>
      </c>
      <c r="S8" s="33">
        <v>18</v>
      </c>
      <c r="T8" s="1">
        <v>19</v>
      </c>
      <c r="U8" s="1">
        <v>20</v>
      </c>
      <c r="V8" s="1">
        <v>21</v>
      </c>
      <c r="W8" s="1">
        <v>22</v>
      </c>
      <c r="X8" s="1">
        <v>23</v>
      </c>
      <c r="Y8" s="33">
        <v>24</v>
      </c>
      <c r="Z8" s="33">
        <v>25</v>
      </c>
      <c r="AA8" s="1">
        <v>26</v>
      </c>
      <c r="AB8" s="1">
        <v>27</v>
      </c>
      <c r="AC8" s="1">
        <v>28</v>
      </c>
      <c r="AD8" s="1">
        <v>29</v>
      </c>
      <c r="AE8" s="1">
        <v>30</v>
      </c>
      <c r="AF8" s="33">
        <v>31</v>
      </c>
      <c r="AG8" s="33">
        <v>1</v>
      </c>
      <c r="AH8" s="119"/>
      <c r="AI8" s="120"/>
    </row>
    <row r="9" spans="1:42" s="32" customFormat="1" ht="16.5" customHeight="1" x14ac:dyDescent="0.25">
      <c r="A9" s="102"/>
      <c r="B9" s="102"/>
      <c r="C9" s="1" t="s">
        <v>5</v>
      </c>
      <c r="D9" s="1" t="s">
        <v>19</v>
      </c>
      <c r="E9" s="1" t="s">
        <v>18</v>
      </c>
      <c r="F9" s="1">
        <v>2</v>
      </c>
      <c r="G9" s="1">
        <v>3</v>
      </c>
      <c r="H9" s="1">
        <v>4</v>
      </c>
      <c r="I9" s="1">
        <v>5</v>
      </c>
      <c r="J9" s="1">
        <v>6</v>
      </c>
      <c r="K9" s="33">
        <v>7</v>
      </c>
      <c r="L9" s="33" t="s">
        <v>7</v>
      </c>
      <c r="M9" s="1">
        <v>2</v>
      </c>
      <c r="N9" s="1">
        <v>3</v>
      </c>
      <c r="O9" s="1">
        <v>4</v>
      </c>
      <c r="P9" s="1">
        <v>5</v>
      </c>
      <c r="Q9" s="1">
        <v>6</v>
      </c>
      <c r="R9" s="33">
        <v>7</v>
      </c>
      <c r="S9" s="33" t="s">
        <v>7</v>
      </c>
      <c r="T9" s="1">
        <v>2</v>
      </c>
      <c r="U9" s="1">
        <v>3</v>
      </c>
      <c r="V9" s="1">
        <v>4</v>
      </c>
      <c r="W9" s="1">
        <v>5</v>
      </c>
      <c r="X9" s="1">
        <v>6</v>
      </c>
      <c r="Y9" s="33">
        <v>7</v>
      </c>
      <c r="Z9" s="33" t="s">
        <v>7</v>
      </c>
      <c r="AA9" s="1">
        <v>2</v>
      </c>
      <c r="AB9" s="1">
        <v>3</v>
      </c>
      <c r="AC9" s="1">
        <v>4</v>
      </c>
      <c r="AD9" s="1">
        <v>5</v>
      </c>
      <c r="AE9" s="1">
        <v>6</v>
      </c>
      <c r="AF9" s="33">
        <v>7</v>
      </c>
      <c r="AG9" s="33" t="s">
        <v>7</v>
      </c>
      <c r="AH9" s="119"/>
      <c r="AI9" s="120"/>
    </row>
    <row r="10" spans="1:42" s="32" customFormat="1" ht="56.25" customHeight="1" x14ac:dyDescent="0.25">
      <c r="A10" s="36" t="s">
        <v>109</v>
      </c>
      <c r="B10" s="35" t="s">
        <v>158</v>
      </c>
      <c r="C10" s="35" t="s">
        <v>35</v>
      </c>
      <c r="D10" s="99" t="s">
        <v>110</v>
      </c>
      <c r="E10" s="62" t="s">
        <v>16</v>
      </c>
      <c r="F10" s="2"/>
      <c r="G10" s="2"/>
      <c r="H10" s="2"/>
      <c r="I10" s="2"/>
      <c r="J10" s="2"/>
      <c r="K10" s="37"/>
      <c r="L10" s="37"/>
      <c r="M10" s="62"/>
      <c r="N10" s="62"/>
      <c r="O10" s="2">
        <v>5</v>
      </c>
      <c r="P10" s="2">
        <v>5</v>
      </c>
      <c r="Q10" s="2"/>
      <c r="R10" s="65"/>
      <c r="S10" s="37"/>
      <c r="T10" s="62"/>
      <c r="U10" s="62"/>
      <c r="V10" s="2">
        <v>5</v>
      </c>
      <c r="W10" s="2">
        <v>5</v>
      </c>
      <c r="X10" s="2"/>
      <c r="Y10" s="65"/>
      <c r="Z10" s="37"/>
      <c r="AA10" s="2"/>
      <c r="AB10" s="2"/>
      <c r="AC10" s="2">
        <v>5</v>
      </c>
      <c r="AD10" s="2">
        <v>5</v>
      </c>
      <c r="AE10" s="2"/>
      <c r="AF10" s="37"/>
      <c r="AG10" s="37"/>
      <c r="AH10" s="68">
        <f>SUM(F10:AF10)</f>
        <v>30</v>
      </c>
      <c r="AI10" s="57" t="s">
        <v>108</v>
      </c>
    </row>
    <row r="11" spans="1:42" s="32" customFormat="1" ht="67.5" customHeight="1" x14ac:dyDescent="0.25">
      <c r="A11" s="67" t="s">
        <v>183</v>
      </c>
      <c r="B11" s="34" t="s">
        <v>171</v>
      </c>
      <c r="C11" s="35" t="s">
        <v>35</v>
      </c>
      <c r="D11" s="100"/>
      <c r="E11" s="2" t="s">
        <v>17</v>
      </c>
      <c r="F11" s="62"/>
      <c r="G11" s="62"/>
      <c r="H11" s="62"/>
      <c r="I11" s="62"/>
      <c r="J11" s="62"/>
      <c r="K11" s="65"/>
      <c r="L11" s="65"/>
      <c r="M11" s="62"/>
      <c r="N11" s="62"/>
      <c r="O11" s="2">
        <v>5</v>
      </c>
      <c r="P11" s="2">
        <v>5</v>
      </c>
      <c r="Q11" s="2"/>
      <c r="R11" s="65"/>
      <c r="S11" s="37"/>
      <c r="T11" s="62"/>
      <c r="U11" s="62"/>
      <c r="V11" s="2">
        <v>5</v>
      </c>
      <c r="W11" s="2">
        <v>5</v>
      </c>
      <c r="X11" s="2"/>
      <c r="Y11" s="65"/>
      <c r="Z11" s="37"/>
      <c r="AA11" s="2"/>
      <c r="AB11" s="2"/>
      <c r="AC11" s="2">
        <v>5</v>
      </c>
      <c r="AD11" s="2">
        <v>5</v>
      </c>
      <c r="AE11" s="2"/>
      <c r="AF11" s="37"/>
      <c r="AG11" s="37"/>
      <c r="AH11" s="68">
        <f>SUM(F11:AF11)</f>
        <v>30</v>
      </c>
      <c r="AI11" s="69">
        <v>36</v>
      </c>
    </row>
    <row r="12" spans="1:42" s="32" customFormat="1" ht="28.5" customHeight="1" x14ac:dyDescent="0.25">
      <c r="A12" s="118" t="s">
        <v>215</v>
      </c>
      <c r="B12" s="99" t="s">
        <v>153</v>
      </c>
      <c r="C12" s="118" t="s">
        <v>31</v>
      </c>
      <c r="D12" s="118" t="s">
        <v>222</v>
      </c>
      <c r="E12" s="2" t="s">
        <v>17</v>
      </c>
      <c r="F12" s="2"/>
      <c r="G12" s="2"/>
      <c r="H12" s="2"/>
      <c r="I12" s="2"/>
      <c r="J12" s="2"/>
      <c r="K12" s="37"/>
      <c r="L12" s="37"/>
      <c r="M12" s="2"/>
      <c r="N12" s="2"/>
      <c r="O12" s="2"/>
      <c r="P12" s="2"/>
      <c r="Q12" s="2"/>
      <c r="R12" s="37">
        <v>4</v>
      </c>
      <c r="S12" s="37"/>
      <c r="T12" s="2"/>
      <c r="U12" s="2"/>
      <c r="V12" s="2"/>
      <c r="W12" s="2"/>
      <c r="X12" s="2"/>
      <c r="Y12" s="37">
        <v>4</v>
      </c>
      <c r="Z12" s="37"/>
      <c r="AA12" s="2"/>
      <c r="AB12" s="2"/>
      <c r="AC12" s="2"/>
      <c r="AD12" s="2"/>
      <c r="AE12" s="2"/>
      <c r="AF12" s="37">
        <v>4</v>
      </c>
      <c r="AG12" s="37"/>
      <c r="AH12" s="125">
        <f>SUM(F12:AF14)</f>
        <v>36</v>
      </c>
      <c r="AI12" s="111" t="s">
        <v>205</v>
      </c>
      <c r="AJ12" s="64"/>
      <c r="AK12" s="64"/>
      <c r="AL12" s="64"/>
      <c r="AM12" s="64"/>
      <c r="AN12" s="64"/>
      <c r="AO12" s="129">
        <v>15</v>
      </c>
      <c r="AP12" s="130" t="s">
        <v>144</v>
      </c>
    </row>
    <row r="13" spans="1:42" s="32" customFormat="1" ht="28.5" customHeight="1" x14ac:dyDescent="0.25">
      <c r="A13" s="118"/>
      <c r="B13" s="100"/>
      <c r="C13" s="118"/>
      <c r="D13" s="118"/>
      <c r="E13" s="2" t="s">
        <v>16</v>
      </c>
      <c r="F13" s="2"/>
      <c r="G13" s="2"/>
      <c r="H13" s="2"/>
      <c r="I13" s="2"/>
      <c r="J13" s="2"/>
      <c r="K13" s="37"/>
      <c r="L13" s="37"/>
      <c r="M13" s="2"/>
      <c r="N13" s="2"/>
      <c r="O13" s="2"/>
      <c r="P13" s="2"/>
      <c r="Q13" s="2"/>
      <c r="R13" s="37">
        <v>4</v>
      </c>
      <c r="S13" s="37"/>
      <c r="T13" s="2"/>
      <c r="U13" s="2"/>
      <c r="V13" s="2"/>
      <c r="W13" s="2"/>
      <c r="X13" s="2"/>
      <c r="Y13" s="37">
        <v>4</v>
      </c>
      <c r="Z13" s="37"/>
      <c r="AA13" s="2"/>
      <c r="AB13" s="2"/>
      <c r="AC13" s="2"/>
      <c r="AD13" s="2"/>
      <c r="AE13" s="2"/>
      <c r="AF13" s="37">
        <v>4</v>
      </c>
      <c r="AG13" s="37"/>
      <c r="AH13" s="125"/>
      <c r="AI13" s="137"/>
      <c r="AJ13" s="64"/>
      <c r="AK13" s="64"/>
      <c r="AL13" s="64"/>
      <c r="AM13" s="64"/>
      <c r="AN13" s="64"/>
      <c r="AO13" s="129"/>
      <c r="AP13" s="130"/>
    </row>
    <row r="14" spans="1:42" s="32" customFormat="1" ht="31.5" customHeight="1" x14ac:dyDescent="0.25">
      <c r="A14" s="118"/>
      <c r="B14" s="101"/>
      <c r="C14" s="118"/>
      <c r="D14" s="118"/>
      <c r="E14" s="2" t="s">
        <v>216</v>
      </c>
      <c r="F14" s="2"/>
      <c r="G14" s="2"/>
      <c r="H14" s="2"/>
      <c r="I14" s="2"/>
      <c r="J14" s="2"/>
      <c r="K14" s="37"/>
      <c r="L14" s="37"/>
      <c r="M14" s="2"/>
      <c r="N14" s="2"/>
      <c r="O14" s="2"/>
      <c r="P14" s="2"/>
      <c r="Q14" s="2">
        <v>4</v>
      </c>
      <c r="R14" s="37"/>
      <c r="S14" s="37"/>
      <c r="T14" s="2"/>
      <c r="U14" s="2"/>
      <c r="V14" s="2"/>
      <c r="W14" s="2"/>
      <c r="X14" s="2">
        <v>4</v>
      </c>
      <c r="Y14" s="37"/>
      <c r="Z14" s="37"/>
      <c r="AA14" s="2"/>
      <c r="AB14" s="2"/>
      <c r="AC14" s="2"/>
      <c r="AD14" s="2"/>
      <c r="AE14" s="2">
        <v>4</v>
      </c>
      <c r="AF14" s="37"/>
      <c r="AG14" s="37"/>
      <c r="AH14" s="125"/>
      <c r="AI14" s="112"/>
      <c r="AJ14" s="64"/>
      <c r="AK14" s="64"/>
      <c r="AL14" s="64"/>
      <c r="AM14" s="64"/>
      <c r="AN14" s="64"/>
      <c r="AO14" s="129"/>
      <c r="AP14" s="130"/>
    </row>
    <row r="15" spans="1:42" s="32" customFormat="1" ht="54" customHeight="1" x14ac:dyDescent="0.25">
      <c r="A15" s="36" t="s">
        <v>223</v>
      </c>
      <c r="B15" s="36" t="s">
        <v>153</v>
      </c>
      <c r="C15" s="36" t="s">
        <v>31</v>
      </c>
      <c r="D15" s="36" t="s">
        <v>100</v>
      </c>
      <c r="E15" s="2" t="s">
        <v>228</v>
      </c>
      <c r="F15" s="2"/>
      <c r="G15" s="2"/>
      <c r="H15" s="2"/>
      <c r="I15" s="2"/>
      <c r="J15" s="2"/>
      <c r="K15" s="37"/>
      <c r="L15" s="37"/>
      <c r="M15" s="2"/>
      <c r="N15" s="2"/>
      <c r="O15" s="2"/>
      <c r="P15" s="2">
        <v>5</v>
      </c>
      <c r="Q15" s="2"/>
      <c r="R15" s="37"/>
      <c r="S15" s="37"/>
      <c r="T15" s="2"/>
      <c r="U15" s="2"/>
      <c r="V15" s="2">
        <v>5</v>
      </c>
      <c r="W15" s="2">
        <v>5</v>
      </c>
      <c r="X15" s="2"/>
      <c r="Y15" s="37"/>
      <c r="Z15" s="37"/>
      <c r="AA15" s="2"/>
      <c r="AB15" s="2"/>
      <c r="AC15" s="2">
        <v>5</v>
      </c>
      <c r="AD15" s="2">
        <v>5</v>
      </c>
      <c r="AE15" s="2"/>
      <c r="AF15" s="37"/>
      <c r="AG15" s="37"/>
      <c r="AH15" s="45">
        <f>SUM(F15:AF15)</f>
        <v>25</v>
      </c>
      <c r="AI15" s="2" t="s">
        <v>226</v>
      </c>
      <c r="AJ15" s="64"/>
      <c r="AK15" s="64"/>
      <c r="AL15" s="64"/>
      <c r="AM15" s="64"/>
      <c r="AN15" s="64"/>
      <c r="AO15" s="70"/>
      <c r="AP15" s="71"/>
    </row>
    <row r="16" spans="1:42" s="32" customFormat="1" ht="33.75" customHeight="1" x14ac:dyDescent="0.25">
      <c r="A16" s="118" t="s">
        <v>217</v>
      </c>
      <c r="B16" s="136" t="s">
        <v>171</v>
      </c>
      <c r="C16" s="118" t="s">
        <v>26</v>
      </c>
      <c r="D16" s="118" t="s">
        <v>218</v>
      </c>
      <c r="E16" s="2" t="s">
        <v>17</v>
      </c>
      <c r="F16" s="2"/>
      <c r="G16" s="2"/>
      <c r="H16" s="2"/>
      <c r="I16" s="2"/>
      <c r="J16" s="2"/>
      <c r="K16" s="37"/>
      <c r="L16" s="37"/>
      <c r="M16" s="2"/>
      <c r="N16" s="2"/>
      <c r="O16" s="2"/>
      <c r="P16" s="2"/>
      <c r="Q16" s="2"/>
      <c r="R16" s="37">
        <v>4</v>
      </c>
      <c r="S16" s="37"/>
      <c r="T16" s="2"/>
      <c r="U16" s="2"/>
      <c r="V16" s="2"/>
      <c r="W16" s="2"/>
      <c r="X16" s="2"/>
      <c r="Y16" s="37">
        <v>4</v>
      </c>
      <c r="Z16" s="37"/>
      <c r="AA16" s="2"/>
      <c r="AB16" s="2"/>
      <c r="AC16" s="2"/>
      <c r="AD16" s="2"/>
      <c r="AE16" s="2"/>
      <c r="AF16" s="37">
        <v>4</v>
      </c>
      <c r="AG16" s="37"/>
      <c r="AH16" s="113">
        <f>SUM(L16:AF17)</f>
        <v>24</v>
      </c>
      <c r="AI16" s="134" t="s">
        <v>219</v>
      </c>
    </row>
    <row r="17" spans="1:42" s="32" customFormat="1" ht="33.75" customHeight="1" x14ac:dyDescent="0.25">
      <c r="A17" s="118"/>
      <c r="B17" s="136"/>
      <c r="C17" s="118"/>
      <c r="D17" s="118"/>
      <c r="E17" s="2" t="s">
        <v>16</v>
      </c>
      <c r="F17" s="2"/>
      <c r="G17" s="2"/>
      <c r="H17" s="2"/>
      <c r="I17" s="2"/>
      <c r="J17" s="2"/>
      <c r="K17" s="37"/>
      <c r="L17" s="37"/>
      <c r="M17" s="2"/>
      <c r="N17" s="2"/>
      <c r="O17" s="2"/>
      <c r="P17" s="2"/>
      <c r="Q17" s="2"/>
      <c r="R17" s="37">
        <v>4</v>
      </c>
      <c r="S17" s="37"/>
      <c r="T17" s="2"/>
      <c r="U17" s="2"/>
      <c r="V17" s="2"/>
      <c r="W17" s="2"/>
      <c r="X17" s="2"/>
      <c r="Y17" s="37">
        <v>4</v>
      </c>
      <c r="Z17" s="37"/>
      <c r="AA17" s="2"/>
      <c r="AB17" s="2"/>
      <c r="AC17" s="2"/>
      <c r="AD17" s="2"/>
      <c r="AE17" s="2"/>
      <c r="AF17" s="37">
        <v>4</v>
      </c>
      <c r="AG17" s="37"/>
      <c r="AH17" s="114"/>
      <c r="AI17" s="135"/>
      <c r="AJ17" s="64"/>
      <c r="AK17" s="64"/>
      <c r="AL17" s="64"/>
      <c r="AM17" s="64"/>
      <c r="AN17" s="64"/>
    </row>
    <row r="18" spans="1:42" s="32" customFormat="1" ht="33.75" customHeight="1" x14ac:dyDescent="0.25">
      <c r="A18" s="118" t="s">
        <v>257</v>
      </c>
      <c r="B18" s="136" t="s">
        <v>93</v>
      </c>
      <c r="C18" s="118" t="s">
        <v>103</v>
      </c>
      <c r="D18" s="118" t="s">
        <v>218</v>
      </c>
      <c r="E18" s="2" t="s">
        <v>17</v>
      </c>
      <c r="F18" s="2"/>
      <c r="G18" s="2"/>
      <c r="H18" s="2"/>
      <c r="I18" s="2"/>
      <c r="J18" s="2"/>
      <c r="K18" s="37"/>
      <c r="L18" s="37"/>
      <c r="M18" s="2"/>
      <c r="N18" s="2"/>
      <c r="O18" s="2"/>
      <c r="P18" s="2"/>
      <c r="Q18" s="2"/>
      <c r="R18" s="37">
        <v>4</v>
      </c>
      <c r="S18" s="37"/>
      <c r="T18" s="2"/>
      <c r="U18" s="2"/>
      <c r="V18" s="2"/>
      <c r="W18" s="2"/>
      <c r="X18" s="2"/>
      <c r="Y18" s="37">
        <v>4</v>
      </c>
      <c r="Z18" s="37"/>
      <c r="AA18" s="2"/>
      <c r="AB18" s="2"/>
      <c r="AC18" s="2"/>
      <c r="AD18" s="2"/>
      <c r="AE18" s="2"/>
      <c r="AF18" s="37">
        <v>4</v>
      </c>
      <c r="AG18" s="37"/>
      <c r="AH18" s="113">
        <f>SUM(L18:AF19)</f>
        <v>24</v>
      </c>
      <c r="AI18" s="134" t="s">
        <v>159</v>
      </c>
    </row>
    <row r="19" spans="1:42" s="32" customFormat="1" ht="33.75" customHeight="1" x14ac:dyDescent="0.25">
      <c r="A19" s="118"/>
      <c r="B19" s="136"/>
      <c r="C19" s="118"/>
      <c r="D19" s="118"/>
      <c r="E19" s="2" t="s">
        <v>16</v>
      </c>
      <c r="F19" s="2"/>
      <c r="G19" s="2"/>
      <c r="H19" s="2"/>
      <c r="I19" s="2"/>
      <c r="J19" s="2"/>
      <c r="K19" s="37"/>
      <c r="L19" s="37"/>
      <c r="M19" s="2"/>
      <c r="N19" s="2"/>
      <c r="O19" s="2"/>
      <c r="P19" s="2"/>
      <c r="Q19" s="2"/>
      <c r="R19" s="37">
        <v>4</v>
      </c>
      <c r="S19" s="37"/>
      <c r="T19" s="2"/>
      <c r="U19" s="2"/>
      <c r="V19" s="2"/>
      <c r="W19" s="2"/>
      <c r="X19" s="2"/>
      <c r="Y19" s="37">
        <v>4</v>
      </c>
      <c r="Z19" s="37"/>
      <c r="AA19" s="2"/>
      <c r="AB19" s="2"/>
      <c r="AC19" s="2"/>
      <c r="AD19" s="2"/>
      <c r="AE19" s="2"/>
      <c r="AF19" s="37">
        <v>4</v>
      </c>
      <c r="AG19" s="37"/>
      <c r="AH19" s="114"/>
      <c r="AI19" s="135"/>
      <c r="AJ19" s="64"/>
      <c r="AK19" s="64"/>
      <c r="AL19" s="64"/>
      <c r="AM19" s="64"/>
      <c r="AN19" s="64"/>
    </row>
    <row r="20" spans="1:42" s="32" customFormat="1" ht="33.75" customHeight="1" x14ac:dyDescent="0.25">
      <c r="A20" s="118" t="s">
        <v>221</v>
      </c>
      <c r="B20" s="136" t="s">
        <v>171</v>
      </c>
      <c r="C20" s="131" t="s">
        <v>95</v>
      </c>
      <c r="D20" s="118" t="s">
        <v>218</v>
      </c>
      <c r="E20" s="2" t="s">
        <v>17</v>
      </c>
      <c r="F20" s="2"/>
      <c r="G20" s="2"/>
      <c r="H20" s="2"/>
      <c r="I20" s="2"/>
      <c r="J20" s="2"/>
      <c r="K20" s="37"/>
      <c r="L20" s="37"/>
      <c r="M20" s="2"/>
      <c r="N20" s="2"/>
      <c r="O20" s="2"/>
      <c r="P20" s="2"/>
      <c r="Q20" s="2"/>
      <c r="R20" s="37">
        <v>4</v>
      </c>
      <c r="S20" s="37"/>
      <c r="T20" s="2"/>
      <c r="U20" s="2"/>
      <c r="V20" s="2"/>
      <c r="W20" s="2"/>
      <c r="X20" s="2"/>
      <c r="Y20" s="37">
        <v>4</v>
      </c>
      <c r="Z20" s="37"/>
      <c r="AA20" s="2"/>
      <c r="AB20" s="2"/>
      <c r="AC20" s="2"/>
      <c r="AD20" s="2"/>
      <c r="AE20" s="2"/>
      <c r="AF20" s="37">
        <v>4</v>
      </c>
      <c r="AG20" s="37"/>
      <c r="AH20" s="113">
        <f>SUM(L20:AF21)</f>
        <v>24</v>
      </c>
      <c r="AI20" s="134" t="s">
        <v>219</v>
      </c>
    </row>
    <row r="21" spans="1:42" s="32" customFormat="1" ht="33.75" customHeight="1" x14ac:dyDescent="0.25">
      <c r="A21" s="118"/>
      <c r="B21" s="136"/>
      <c r="C21" s="132"/>
      <c r="D21" s="118"/>
      <c r="E21" s="2" t="s">
        <v>16</v>
      </c>
      <c r="F21" s="2"/>
      <c r="G21" s="2"/>
      <c r="H21" s="2"/>
      <c r="I21" s="2"/>
      <c r="J21" s="2"/>
      <c r="K21" s="37"/>
      <c r="L21" s="37"/>
      <c r="M21" s="2"/>
      <c r="N21" s="2"/>
      <c r="O21" s="2"/>
      <c r="P21" s="2"/>
      <c r="Q21" s="2"/>
      <c r="R21" s="37">
        <v>4</v>
      </c>
      <c r="S21" s="37"/>
      <c r="T21" s="2"/>
      <c r="U21" s="2"/>
      <c r="V21" s="2"/>
      <c r="W21" s="2"/>
      <c r="X21" s="2"/>
      <c r="Y21" s="37">
        <v>4</v>
      </c>
      <c r="Z21" s="37"/>
      <c r="AA21" s="2"/>
      <c r="AB21" s="2"/>
      <c r="AC21" s="2"/>
      <c r="AD21" s="2"/>
      <c r="AE21" s="2"/>
      <c r="AF21" s="37">
        <v>4</v>
      </c>
      <c r="AG21" s="37"/>
      <c r="AH21" s="114"/>
      <c r="AI21" s="135"/>
      <c r="AJ21" s="64"/>
      <c r="AK21" s="64"/>
      <c r="AL21" s="64"/>
      <c r="AM21" s="64"/>
      <c r="AN21" s="64"/>
    </row>
    <row r="22" spans="1:42" s="32" customFormat="1" ht="28.5" customHeight="1" x14ac:dyDescent="0.25">
      <c r="A22" s="118" t="s">
        <v>243</v>
      </c>
      <c r="B22" s="99" t="s">
        <v>93</v>
      </c>
      <c r="C22" s="118" t="s">
        <v>244</v>
      </c>
      <c r="D22" s="118" t="s">
        <v>245</v>
      </c>
      <c r="E22" s="2" t="s">
        <v>17</v>
      </c>
      <c r="F22" s="2"/>
      <c r="G22" s="2"/>
      <c r="H22" s="2"/>
      <c r="I22" s="2"/>
      <c r="J22" s="2"/>
      <c r="K22" s="37"/>
      <c r="L22" s="37"/>
      <c r="M22" s="2"/>
      <c r="N22" s="2"/>
      <c r="O22" s="2"/>
      <c r="P22" s="2"/>
      <c r="Q22" s="2"/>
      <c r="R22" s="37"/>
      <c r="S22" s="37"/>
      <c r="T22" s="2"/>
      <c r="U22" s="2"/>
      <c r="V22" s="2"/>
      <c r="W22" s="2"/>
      <c r="X22" s="2"/>
      <c r="Y22" s="37"/>
      <c r="Z22" s="37"/>
      <c r="AA22" s="2"/>
      <c r="AB22" s="2"/>
      <c r="AC22" s="2"/>
      <c r="AD22" s="2"/>
      <c r="AE22" s="2"/>
      <c r="AF22" s="37"/>
      <c r="AG22" s="37"/>
      <c r="AH22" s="125">
        <f>SUM(F22:AF23)</f>
        <v>20</v>
      </c>
      <c r="AI22" s="136"/>
      <c r="AJ22" s="64"/>
      <c r="AK22" s="64"/>
      <c r="AL22" s="64"/>
      <c r="AM22" s="64"/>
      <c r="AN22" s="64"/>
      <c r="AO22" s="129">
        <v>15</v>
      </c>
      <c r="AP22" s="130" t="s">
        <v>144</v>
      </c>
    </row>
    <row r="23" spans="1:42" s="32" customFormat="1" ht="28.5" customHeight="1" x14ac:dyDescent="0.25">
      <c r="A23" s="118"/>
      <c r="B23" s="101"/>
      <c r="C23" s="118"/>
      <c r="D23" s="118"/>
      <c r="E23" s="2" t="s">
        <v>16</v>
      </c>
      <c r="F23" s="2"/>
      <c r="G23" s="2"/>
      <c r="H23" s="2"/>
      <c r="I23" s="2"/>
      <c r="J23" s="2"/>
      <c r="K23" s="37"/>
      <c r="L23" s="37"/>
      <c r="M23" s="2"/>
      <c r="N23" s="2"/>
      <c r="O23" s="2">
        <v>4</v>
      </c>
      <c r="P23" s="2"/>
      <c r="Q23" s="2"/>
      <c r="R23" s="37"/>
      <c r="S23" s="37"/>
      <c r="T23" s="2"/>
      <c r="U23" s="2">
        <v>4</v>
      </c>
      <c r="V23" s="2">
        <v>4</v>
      </c>
      <c r="W23" s="2"/>
      <c r="X23" s="2"/>
      <c r="Y23" s="37"/>
      <c r="Z23" s="37"/>
      <c r="AA23" s="2"/>
      <c r="AB23" s="2">
        <v>4</v>
      </c>
      <c r="AC23" s="2">
        <v>4</v>
      </c>
      <c r="AD23" s="2"/>
      <c r="AE23" s="2"/>
      <c r="AF23" s="37"/>
      <c r="AG23" s="37"/>
      <c r="AH23" s="125"/>
      <c r="AI23" s="136"/>
      <c r="AJ23" s="64"/>
      <c r="AK23" s="64"/>
      <c r="AL23" s="64"/>
      <c r="AM23" s="64"/>
      <c r="AN23" s="64"/>
      <c r="AO23" s="129"/>
      <c r="AP23" s="130"/>
    </row>
    <row r="24" spans="1:42" ht="27.75" customHeight="1" x14ac:dyDescent="0.3">
      <c r="A24" s="63"/>
      <c r="AB24" s="39" t="s">
        <v>246</v>
      </c>
      <c r="AG24" s="39"/>
    </row>
    <row r="25" spans="1:42" s="29" customFormat="1" x14ac:dyDescent="0.3">
      <c r="A25" s="63"/>
      <c r="B25" s="107" t="s">
        <v>12</v>
      </c>
      <c r="C25" s="107"/>
      <c r="D25" s="5"/>
      <c r="E25" s="29" t="s">
        <v>28</v>
      </c>
      <c r="AB25" s="5" t="s">
        <v>14</v>
      </c>
      <c r="AC25" s="5"/>
      <c r="AG25" s="5"/>
      <c r="AH25" s="4"/>
      <c r="AI25" s="55"/>
    </row>
    <row r="26" spans="1:42" x14ac:dyDescent="0.3">
      <c r="D26" s="4" t="s">
        <v>29</v>
      </c>
      <c r="AB26" s="29"/>
    </row>
    <row r="28" spans="1:42" ht="12.75" customHeight="1" x14ac:dyDescent="0.3"/>
    <row r="29" spans="1:42" ht="12" customHeight="1" x14ac:dyDescent="0.3"/>
    <row r="30" spans="1:42" ht="6.75" customHeight="1" x14ac:dyDescent="0.3"/>
    <row r="31" spans="1:42" x14ac:dyDescent="0.3">
      <c r="E31" s="29" t="s">
        <v>113</v>
      </c>
      <c r="K31" s="29"/>
      <c r="L31" s="29"/>
      <c r="M31" s="29"/>
      <c r="N31" s="29"/>
      <c r="O31" s="29"/>
      <c r="P31" s="29"/>
      <c r="Q31" s="29"/>
      <c r="R31" s="29"/>
      <c r="Y31" s="29" t="s">
        <v>22</v>
      </c>
      <c r="Z31" s="29"/>
      <c r="AA31" s="29"/>
      <c r="AB31" s="29"/>
      <c r="AC31" s="29"/>
      <c r="AD31" s="29"/>
      <c r="AE31" s="29"/>
      <c r="AF31" s="29"/>
      <c r="AG31" s="29"/>
    </row>
    <row r="33" spans="1:35" s="27" customFormat="1" ht="18" hidden="1" customHeight="1" x14ac:dyDescent="0.25">
      <c r="A33" s="108" t="s">
        <v>0</v>
      </c>
      <c r="B33" s="108"/>
      <c r="C33" s="108"/>
      <c r="D33" s="108"/>
      <c r="E33" s="3"/>
      <c r="P33" s="28" t="s">
        <v>1</v>
      </c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43"/>
      <c r="AI33" s="55"/>
    </row>
    <row r="34" spans="1:35" s="27" customFormat="1" ht="16.5" hidden="1" customHeight="1" x14ac:dyDescent="0.25">
      <c r="A34" s="109" t="s">
        <v>2</v>
      </c>
      <c r="B34" s="109"/>
      <c r="C34" s="109"/>
      <c r="D34" s="109"/>
      <c r="E34" s="3"/>
      <c r="L34" s="109" t="s">
        <v>3</v>
      </c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43"/>
      <c r="AI34" s="55"/>
    </row>
    <row r="35" spans="1:35" ht="16.5" hidden="1" customHeight="1" x14ac:dyDescent="0.3"/>
    <row r="36" spans="1:35" ht="16.5" hidden="1" customHeight="1" x14ac:dyDescent="0.3">
      <c r="A36" s="97" t="s">
        <v>20</v>
      </c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</row>
    <row r="37" spans="1:35" ht="16.5" hidden="1" customHeight="1" x14ac:dyDescent="0.3">
      <c r="A37" s="97" t="s">
        <v>24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</row>
    <row r="38" spans="1:35" ht="16.5" hidden="1" customHeight="1" x14ac:dyDescent="0.3"/>
    <row r="39" spans="1:35" s="32" customFormat="1" ht="16.5" hidden="1" customHeight="1" x14ac:dyDescent="0.25">
      <c r="A39" s="102" t="s">
        <v>4</v>
      </c>
      <c r="B39" s="102" t="s">
        <v>5</v>
      </c>
      <c r="C39" s="103" t="s">
        <v>11</v>
      </c>
      <c r="D39" s="104"/>
      <c r="E39" s="105"/>
      <c r="F39" s="106">
        <v>1</v>
      </c>
      <c r="G39" s="106"/>
      <c r="H39" s="106"/>
      <c r="I39" s="106"/>
      <c r="J39" s="106"/>
      <c r="K39" s="106"/>
      <c r="L39" s="106"/>
      <c r="M39" s="106">
        <v>2</v>
      </c>
      <c r="N39" s="106"/>
      <c r="O39" s="106"/>
      <c r="P39" s="106"/>
      <c r="Q39" s="106"/>
      <c r="R39" s="106"/>
      <c r="S39" s="106"/>
      <c r="T39" s="106">
        <v>3</v>
      </c>
      <c r="U39" s="106"/>
      <c r="V39" s="106"/>
      <c r="W39" s="106"/>
      <c r="X39" s="106"/>
      <c r="Y39" s="106"/>
      <c r="Z39" s="106"/>
      <c r="AA39" s="106">
        <v>4</v>
      </c>
      <c r="AB39" s="106"/>
      <c r="AC39" s="106"/>
      <c r="AD39" s="106"/>
      <c r="AE39" s="106"/>
      <c r="AF39" s="106"/>
      <c r="AG39" s="106"/>
      <c r="AH39" s="104"/>
      <c r="AI39" s="105"/>
    </row>
    <row r="40" spans="1:35" s="32" customFormat="1" ht="16.5" hidden="1" customHeight="1" x14ac:dyDescent="0.25">
      <c r="A40" s="102"/>
      <c r="B40" s="102"/>
      <c r="C40" s="103" t="s">
        <v>10</v>
      </c>
      <c r="D40" s="104"/>
      <c r="E40" s="105"/>
      <c r="F40" s="1">
        <v>30</v>
      </c>
      <c r="G40" s="1">
        <v>1</v>
      </c>
      <c r="H40" s="1">
        <v>2</v>
      </c>
      <c r="I40" s="1">
        <v>3</v>
      </c>
      <c r="J40" s="1">
        <v>4</v>
      </c>
      <c r="K40" s="1">
        <v>5</v>
      </c>
      <c r="L40" s="33">
        <v>6</v>
      </c>
      <c r="M40" s="1">
        <v>7</v>
      </c>
      <c r="N40" s="1">
        <v>8</v>
      </c>
      <c r="O40" s="1">
        <v>9</v>
      </c>
      <c r="P40" s="1">
        <v>10</v>
      </c>
      <c r="Q40" s="1">
        <v>11</v>
      </c>
      <c r="R40" s="33">
        <v>12</v>
      </c>
      <c r="S40" s="33">
        <v>13</v>
      </c>
      <c r="T40" s="1">
        <v>14</v>
      </c>
      <c r="U40" s="1">
        <v>15</v>
      </c>
      <c r="V40" s="1">
        <v>16</v>
      </c>
      <c r="W40" s="1">
        <v>17</v>
      </c>
      <c r="X40" s="1">
        <v>18</v>
      </c>
      <c r="Y40" s="33">
        <v>19</v>
      </c>
      <c r="Z40" s="33">
        <v>20</v>
      </c>
      <c r="AA40" s="1">
        <v>21</v>
      </c>
      <c r="AB40" s="1">
        <v>22</v>
      </c>
      <c r="AC40" s="1">
        <v>23</v>
      </c>
      <c r="AD40" s="1">
        <v>24</v>
      </c>
      <c r="AE40" s="1">
        <v>25</v>
      </c>
      <c r="AF40" s="1">
        <v>26</v>
      </c>
      <c r="AG40" s="1">
        <v>27</v>
      </c>
      <c r="AH40" s="42">
        <v>29</v>
      </c>
      <c r="AI40" s="60">
        <v>30</v>
      </c>
    </row>
    <row r="41" spans="1:35" s="32" customFormat="1" ht="16.5" hidden="1" customHeight="1" x14ac:dyDescent="0.25">
      <c r="A41" s="102"/>
      <c r="B41" s="102"/>
      <c r="C41" s="1" t="s">
        <v>6</v>
      </c>
      <c r="D41" s="1" t="s">
        <v>19</v>
      </c>
      <c r="E41" s="1" t="s">
        <v>18</v>
      </c>
      <c r="F41" s="1">
        <v>2</v>
      </c>
      <c r="G41" s="1">
        <v>3</v>
      </c>
      <c r="H41" s="1">
        <v>4</v>
      </c>
      <c r="I41" s="1">
        <v>5</v>
      </c>
      <c r="J41" s="1">
        <v>6</v>
      </c>
      <c r="K41" s="1">
        <v>7</v>
      </c>
      <c r="L41" s="33" t="s">
        <v>7</v>
      </c>
      <c r="M41" s="1">
        <v>2</v>
      </c>
      <c r="N41" s="1">
        <v>3</v>
      </c>
      <c r="O41" s="1">
        <v>4</v>
      </c>
      <c r="P41" s="1">
        <v>5</v>
      </c>
      <c r="Q41" s="1">
        <v>6</v>
      </c>
      <c r="R41" s="33">
        <v>7</v>
      </c>
      <c r="S41" s="33" t="s">
        <v>7</v>
      </c>
      <c r="T41" s="1">
        <v>2</v>
      </c>
      <c r="U41" s="1">
        <v>3</v>
      </c>
      <c r="V41" s="1">
        <v>4</v>
      </c>
      <c r="W41" s="1">
        <v>5</v>
      </c>
      <c r="X41" s="1">
        <v>6</v>
      </c>
      <c r="Y41" s="33">
        <v>7</v>
      </c>
      <c r="Z41" s="33" t="s">
        <v>7</v>
      </c>
      <c r="AA41" s="1">
        <v>2</v>
      </c>
      <c r="AB41" s="1">
        <v>3</v>
      </c>
      <c r="AC41" s="1">
        <v>4</v>
      </c>
      <c r="AD41" s="1">
        <v>5</v>
      </c>
      <c r="AE41" s="1">
        <v>6</v>
      </c>
      <c r="AF41" s="33">
        <v>7</v>
      </c>
      <c r="AG41" s="33" t="s">
        <v>7</v>
      </c>
      <c r="AH41" s="42">
        <v>3</v>
      </c>
      <c r="AI41" s="60">
        <v>4</v>
      </c>
    </row>
    <row r="42" spans="1:35" s="32" customFormat="1" ht="16.5" hidden="1" customHeight="1" x14ac:dyDescent="0.25">
      <c r="A42" s="99" t="s">
        <v>90</v>
      </c>
      <c r="B42" s="34" t="s">
        <v>26</v>
      </c>
      <c r="C42" s="35" t="s">
        <v>30</v>
      </c>
      <c r="D42" s="36" t="s">
        <v>85</v>
      </c>
      <c r="E42" s="2" t="s">
        <v>15</v>
      </c>
      <c r="F42" s="1">
        <v>4</v>
      </c>
      <c r="G42" s="1">
        <v>4</v>
      </c>
      <c r="H42" s="1"/>
      <c r="I42" s="1"/>
      <c r="J42" s="1"/>
      <c r="K42" s="34"/>
      <c r="L42" s="34"/>
      <c r="M42" s="34">
        <v>4</v>
      </c>
      <c r="N42" s="34"/>
      <c r="O42" s="34"/>
      <c r="P42" s="34"/>
      <c r="Q42" s="34"/>
      <c r="R42" s="34"/>
      <c r="S42" s="34"/>
      <c r="T42" s="34">
        <v>4</v>
      </c>
      <c r="U42" s="34">
        <v>4</v>
      </c>
      <c r="V42" s="34"/>
      <c r="W42" s="34"/>
      <c r="X42" s="34"/>
      <c r="Y42" s="34"/>
      <c r="Z42" s="34"/>
      <c r="AA42" s="34">
        <v>4</v>
      </c>
      <c r="AB42" s="34">
        <v>4</v>
      </c>
      <c r="AC42" s="34"/>
      <c r="AD42" s="34"/>
      <c r="AE42" s="34"/>
      <c r="AF42" s="34"/>
      <c r="AG42" s="34"/>
      <c r="AH42" s="42">
        <v>4</v>
      </c>
      <c r="AI42" s="60"/>
    </row>
    <row r="43" spans="1:35" s="32" customFormat="1" ht="16.5" hidden="1" customHeight="1" x14ac:dyDescent="0.25">
      <c r="A43" s="100"/>
      <c r="B43" s="38" t="s">
        <v>31</v>
      </c>
      <c r="C43" s="35" t="s">
        <v>32</v>
      </c>
      <c r="D43" s="36" t="s">
        <v>85</v>
      </c>
      <c r="E43" s="2" t="s">
        <v>15</v>
      </c>
      <c r="F43" s="1"/>
      <c r="G43" s="1"/>
      <c r="H43" s="1"/>
      <c r="I43" s="1"/>
      <c r="J43" s="1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42"/>
      <c r="AI43" s="60"/>
    </row>
    <row r="44" spans="1:35" s="32" customFormat="1" ht="16.5" hidden="1" customHeight="1" x14ac:dyDescent="0.25">
      <c r="A44" s="100"/>
      <c r="B44" s="38" t="s">
        <v>35</v>
      </c>
      <c r="C44" s="35" t="s">
        <v>36</v>
      </c>
      <c r="D44" s="36" t="s">
        <v>85</v>
      </c>
      <c r="E44" s="2" t="s">
        <v>15</v>
      </c>
      <c r="F44" s="1"/>
      <c r="G44" s="1"/>
      <c r="H44" s="1"/>
      <c r="I44" s="1"/>
      <c r="J44" s="1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42"/>
      <c r="AI44" s="60"/>
    </row>
    <row r="45" spans="1:35" s="32" customFormat="1" ht="16.5" hidden="1" customHeight="1" x14ac:dyDescent="0.25">
      <c r="A45" s="101"/>
      <c r="B45" s="34" t="s">
        <v>26</v>
      </c>
      <c r="C45" s="35" t="s">
        <v>27</v>
      </c>
      <c r="D45" s="36" t="s">
        <v>85</v>
      </c>
      <c r="E45" s="2" t="s">
        <v>37</v>
      </c>
      <c r="F45" s="1">
        <v>1</v>
      </c>
      <c r="G45" s="1"/>
      <c r="H45" s="1"/>
      <c r="I45" s="1"/>
      <c r="J45" s="1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42"/>
      <c r="AI45" s="60"/>
    </row>
    <row r="46" spans="1:35" s="32" customFormat="1" ht="16.5" hidden="1" customHeight="1" x14ac:dyDescent="0.25">
      <c r="A46" s="99" t="s">
        <v>89</v>
      </c>
      <c r="B46" s="34" t="s">
        <v>26</v>
      </c>
      <c r="C46" s="35" t="s">
        <v>30</v>
      </c>
      <c r="D46" s="36" t="s">
        <v>85</v>
      </c>
      <c r="E46" s="2" t="s">
        <v>15</v>
      </c>
      <c r="F46" s="1">
        <v>4</v>
      </c>
      <c r="G46" s="1">
        <v>4</v>
      </c>
      <c r="H46" s="1"/>
      <c r="I46" s="1"/>
      <c r="J46" s="1"/>
      <c r="K46" s="34"/>
      <c r="L46" s="34"/>
      <c r="M46" s="34">
        <v>4</v>
      </c>
      <c r="N46" s="34"/>
      <c r="O46" s="34"/>
      <c r="P46" s="34"/>
      <c r="Q46" s="34"/>
      <c r="R46" s="34"/>
      <c r="S46" s="34"/>
      <c r="T46" s="34">
        <v>4</v>
      </c>
      <c r="U46" s="34">
        <v>4</v>
      </c>
      <c r="V46" s="34"/>
      <c r="W46" s="34"/>
      <c r="X46" s="34"/>
      <c r="Y46" s="34"/>
      <c r="Z46" s="34"/>
      <c r="AA46" s="34">
        <v>4</v>
      </c>
      <c r="AB46" s="34">
        <v>4</v>
      </c>
      <c r="AC46" s="34"/>
      <c r="AD46" s="34"/>
      <c r="AE46" s="34"/>
      <c r="AF46" s="34"/>
      <c r="AG46" s="34"/>
      <c r="AH46" s="42">
        <v>4</v>
      </c>
      <c r="AI46" s="60"/>
    </row>
    <row r="47" spans="1:35" s="32" customFormat="1" ht="16.5" hidden="1" customHeight="1" x14ac:dyDescent="0.25">
      <c r="A47" s="100"/>
      <c r="B47" s="38" t="s">
        <v>31</v>
      </c>
      <c r="C47" s="35" t="s">
        <v>32</v>
      </c>
      <c r="D47" s="36" t="s">
        <v>85</v>
      </c>
      <c r="E47" s="2" t="s">
        <v>15</v>
      </c>
      <c r="F47" s="1"/>
      <c r="G47" s="1"/>
      <c r="H47" s="1"/>
      <c r="I47" s="1"/>
      <c r="J47" s="1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42"/>
      <c r="AI47" s="60"/>
    </row>
    <row r="48" spans="1:35" s="32" customFormat="1" ht="16.5" hidden="1" customHeight="1" x14ac:dyDescent="0.25">
      <c r="A48" s="100"/>
      <c r="B48" s="38" t="s">
        <v>33</v>
      </c>
      <c r="C48" s="35" t="s">
        <v>34</v>
      </c>
      <c r="D48" s="36" t="s">
        <v>92</v>
      </c>
      <c r="E48" s="2" t="s">
        <v>15</v>
      </c>
      <c r="F48" s="1"/>
      <c r="G48" s="1"/>
      <c r="H48" s="1"/>
      <c r="I48" s="1"/>
      <c r="J48" s="1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42"/>
      <c r="AI48" s="60"/>
    </row>
    <row r="49" spans="1:35" s="32" customFormat="1" ht="16.5" hidden="1" customHeight="1" x14ac:dyDescent="0.25">
      <c r="A49" s="101"/>
      <c r="B49" s="34" t="s">
        <v>26</v>
      </c>
      <c r="C49" s="35" t="s">
        <v>27</v>
      </c>
      <c r="D49" s="36" t="s">
        <v>85</v>
      </c>
      <c r="E49" s="2" t="s">
        <v>37</v>
      </c>
      <c r="F49" s="1">
        <v>1</v>
      </c>
      <c r="G49" s="1"/>
      <c r="H49" s="1"/>
      <c r="I49" s="1"/>
      <c r="J49" s="1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42"/>
      <c r="AI49" s="60"/>
    </row>
    <row r="50" spans="1:35" s="32" customFormat="1" ht="16.5" hidden="1" customHeight="1" x14ac:dyDescent="0.25">
      <c r="A50" s="31"/>
      <c r="B50" s="31"/>
      <c r="C50" s="1"/>
      <c r="D50" s="1"/>
      <c r="E50" s="1"/>
      <c r="F50" s="1"/>
      <c r="G50" s="1"/>
      <c r="H50" s="1"/>
      <c r="I50" s="1"/>
      <c r="J50" s="1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42"/>
      <c r="AI50" s="60"/>
    </row>
    <row r="51" spans="1:35" s="32" customFormat="1" ht="16.5" hidden="1" customHeight="1" x14ac:dyDescent="0.25">
      <c r="A51" s="31"/>
      <c r="B51" s="31"/>
      <c r="C51" s="1"/>
      <c r="D51" s="1"/>
      <c r="E51" s="1"/>
      <c r="F51" s="1"/>
      <c r="G51" s="1"/>
      <c r="H51" s="1"/>
      <c r="I51" s="1"/>
      <c r="J51" s="1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42"/>
      <c r="AI51" s="60"/>
    </row>
    <row r="52" spans="1:35" s="32" customFormat="1" ht="16.5" hidden="1" customHeight="1" x14ac:dyDescent="0.25">
      <c r="A52" s="31"/>
      <c r="B52" s="31"/>
      <c r="C52" s="1"/>
      <c r="D52" s="1"/>
      <c r="E52" s="1"/>
      <c r="F52" s="1"/>
      <c r="G52" s="1"/>
      <c r="H52" s="1"/>
      <c r="I52" s="1"/>
      <c r="J52" s="1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42"/>
      <c r="AI52" s="60"/>
    </row>
    <row r="53" spans="1:35" s="32" customFormat="1" ht="16.5" hidden="1" customHeight="1" x14ac:dyDescent="0.25">
      <c r="A53" s="31"/>
      <c r="B53" s="31"/>
      <c r="C53" s="1"/>
      <c r="D53" s="1"/>
      <c r="E53" s="1"/>
      <c r="F53" s="1"/>
      <c r="G53" s="1"/>
      <c r="H53" s="1"/>
      <c r="I53" s="1"/>
      <c r="J53" s="1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42"/>
      <c r="AI53" s="60"/>
    </row>
    <row r="54" spans="1:35" s="32" customFormat="1" ht="16.5" hidden="1" customHeight="1" x14ac:dyDescent="0.25">
      <c r="A54" s="31"/>
      <c r="B54" s="31"/>
      <c r="C54" s="1"/>
      <c r="D54" s="1"/>
      <c r="E54" s="1"/>
      <c r="F54" s="1"/>
      <c r="G54" s="1"/>
      <c r="H54" s="1"/>
      <c r="I54" s="1"/>
      <c r="J54" s="1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42"/>
      <c r="AI54" s="60"/>
    </row>
    <row r="55" spans="1:35" s="32" customFormat="1" ht="16.5" hidden="1" customHeight="1" x14ac:dyDescent="0.25">
      <c r="A55" s="31"/>
      <c r="B55" s="31"/>
      <c r="C55" s="1"/>
      <c r="D55" s="1"/>
      <c r="E55" s="1"/>
      <c r="F55" s="1"/>
      <c r="G55" s="1"/>
      <c r="H55" s="1"/>
      <c r="I55" s="1"/>
      <c r="J55" s="1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42"/>
      <c r="AI55" s="60"/>
    </row>
    <row r="56" spans="1:35" s="32" customFormat="1" ht="16.5" hidden="1" customHeight="1" x14ac:dyDescent="0.25">
      <c r="A56" s="31"/>
      <c r="B56" s="31"/>
      <c r="C56" s="1"/>
      <c r="D56" s="1"/>
      <c r="E56" s="1"/>
      <c r="F56" s="1"/>
      <c r="G56" s="1"/>
      <c r="H56" s="1"/>
      <c r="I56" s="1"/>
      <c r="J56" s="1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42"/>
      <c r="AI56" s="60"/>
    </row>
    <row r="57" spans="1:35" s="32" customFormat="1" ht="16.5" hidden="1" customHeight="1" x14ac:dyDescent="0.25">
      <c r="A57" s="31"/>
      <c r="B57" s="31"/>
      <c r="C57" s="1"/>
      <c r="D57" s="1"/>
      <c r="E57" s="1"/>
      <c r="F57" s="1"/>
      <c r="G57" s="1"/>
      <c r="H57" s="1"/>
      <c r="I57" s="1"/>
      <c r="J57" s="1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42"/>
      <c r="AI57" s="60"/>
    </row>
    <row r="58" spans="1:35" s="32" customFormat="1" ht="16.5" hidden="1" customHeight="1" x14ac:dyDescent="0.25">
      <c r="A58" s="31"/>
      <c r="B58" s="31"/>
      <c r="C58" s="1"/>
      <c r="D58" s="1"/>
      <c r="E58" s="1"/>
      <c r="F58" s="1"/>
      <c r="G58" s="1"/>
      <c r="H58" s="1"/>
      <c r="I58" s="1"/>
      <c r="J58" s="1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42"/>
      <c r="AI58" s="60"/>
    </row>
    <row r="59" spans="1:35" s="32" customFormat="1" ht="16.5" hidden="1" customHeight="1" x14ac:dyDescent="0.25">
      <c r="A59" s="31"/>
      <c r="B59" s="31"/>
      <c r="C59" s="1"/>
      <c r="D59" s="1"/>
      <c r="E59" s="1"/>
      <c r="F59" s="1"/>
      <c r="G59" s="1"/>
      <c r="H59" s="1"/>
      <c r="I59" s="1"/>
      <c r="J59" s="1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42"/>
      <c r="AI59" s="60"/>
    </row>
    <row r="60" spans="1:35" s="32" customFormat="1" ht="16.5" hidden="1" customHeight="1" x14ac:dyDescent="0.25">
      <c r="A60" s="31"/>
      <c r="B60" s="31"/>
      <c r="C60" s="1"/>
      <c r="D60" s="1"/>
      <c r="E60" s="1"/>
      <c r="F60" s="1"/>
      <c r="G60" s="1"/>
      <c r="H60" s="1"/>
      <c r="I60" s="1"/>
      <c r="J60" s="1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42"/>
      <c r="AI60" s="60"/>
    </row>
    <row r="61" spans="1:35" s="32" customFormat="1" ht="16.5" hidden="1" customHeight="1" x14ac:dyDescent="0.25">
      <c r="A61" s="31"/>
      <c r="B61" s="31"/>
      <c r="C61" s="1"/>
      <c r="D61" s="1"/>
      <c r="E61" s="1"/>
      <c r="F61" s="1"/>
      <c r="G61" s="1"/>
      <c r="H61" s="1"/>
      <c r="I61" s="1"/>
      <c r="J61" s="1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42"/>
      <c r="AI61" s="60"/>
    </row>
    <row r="62" spans="1:35" s="32" customFormat="1" ht="16.5" hidden="1" customHeight="1" x14ac:dyDescent="0.25">
      <c r="A62" s="31"/>
      <c r="B62" s="31"/>
      <c r="C62" s="1"/>
      <c r="D62" s="1"/>
      <c r="E62" s="1"/>
      <c r="F62" s="1"/>
      <c r="G62" s="1"/>
      <c r="H62" s="1"/>
      <c r="I62" s="1"/>
      <c r="J62" s="1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42"/>
      <c r="AI62" s="60"/>
    </row>
    <row r="63" spans="1:35" s="32" customFormat="1" ht="16.5" hidden="1" customHeight="1" x14ac:dyDescent="0.25">
      <c r="A63" s="40"/>
      <c r="B63" s="38"/>
      <c r="C63" s="40"/>
      <c r="D63" s="36"/>
      <c r="E63" s="2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2"/>
      <c r="AI63" s="56"/>
    </row>
    <row r="64" spans="1:35" s="32" customFormat="1" ht="16.5" hidden="1" customHeight="1" x14ac:dyDescent="0.25">
      <c r="A64" s="40"/>
      <c r="B64" s="38"/>
      <c r="C64" s="35"/>
      <c r="D64" s="36"/>
      <c r="E64" s="2"/>
      <c r="F64" s="34"/>
      <c r="G64" s="34"/>
      <c r="H64" s="34"/>
      <c r="I64" s="34"/>
      <c r="J64" s="34"/>
      <c r="K64" s="34"/>
      <c r="L64" s="34"/>
      <c r="M64" s="34" t="s">
        <v>9</v>
      </c>
      <c r="N64" s="34"/>
      <c r="O64" s="34"/>
      <c r="P64" s="34"/>
      <c r="Q64" s="34"/>
      <c r="R64" s="34"/>
      <c r="S64" s="34"/>
      <c r="T64" s="34" t="s">
        <v>9</v>
      </c>
      <c r="U64" s="34"/>
      <c r="V64" s="34"/>
      <c r="W64" s="34"/>
      <c r="X64" s="34"/>
      <c r="Y64" s="34"/>
      <c r="Z64" s="34"/>
      <c r="AA64" s="34" t="s">
        <v>9</v>
      </c>
      <c r="AB64" s="34"/>
      <c r="AC64" s="34"/>
      <c r="AD64" s="34"/>
      <c r="AE64" s="34"/>
      <c r="AF64" s="34"/>
      <c r="AG64" s="34"/>
      <c r="AH64" s="2"/>
      <c r="AI64" s="56" t="s">
        <v>9</v>
      </c>
    </row>
    <row r="65" spans="2:35" hidden="1" x14ac:dyDescent="0.3"/>
    <row r="66" spans="2:35" hidden="1" x14ac:dyDescent="0.3">
      <c r="AB66" s="39" t="s">
        <v>21</v>
      </c>
    </row>
    <row r="67" spans="2:35" s="29" customFormat="1" ht="18" hidden="1" customHeight="1" x14ac:dyDescent="0.3">
      <c r="B67" s="110" t="s">
        <v>12</v>
      </c>
      <c r="C67" s="110"/>
      <c r="D67" s="5"/>
      <c r="E67" s="5"/>
      <c r="I67" s="97" t="s">
        <v>13</v>
      </c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AC67" s="5" t="s">
        <v>14</v>
      </c>
      <c r="AH67" s="4"/>
      <c r="AI67" s="55"/>
    </row>
    <row r="68" spans="2:35" hidden="1" x14ac:dyDescent="0.3">
      <c r="AB68" s="29"/>
    </row>
    <row r="69" spans="2:35" hidden="1" x14ac:dyDescent="0.3"/>
    <row r="70" spans="2:35" hidden="1" x14ac:dyDescent="0.3"/>
    <row r="71" spans="2:35" hidden="1" x14ac:dyDescent="0.3"/>
    <row r="72" spans="2:35" hidden="1" x14ac:dyDescent="0.3"/>
    <row r="73" spans="2:35" hidden="1" x14ac:dyDescent="0.3">
      <c r="K73" s="97" t="s">
        <v>23</v>
      </c>
      <c r="L73" s="97"/>
      <c r="M73" s="97"/>
      <c r="N73" s="97"/>
      <c r="O73" s="97"/>
      <c r="P73" s="97"/>
      <c r="Q73" s="97"/>
      <c r="R73" s="97"/>
      <c r="AA73" s="29" t="s">
        <v>22</v>
      </c>
    </row>
  </sheetData>
  <mergeCells count="71">
    <mergeCell ref="AI16:AI17"/>
    <mergeCell ref="AH20:AH21"/>
    <mergeCell ref="AI20:AI21"/>
    <mergeCell ref="A18:A19"/>
    <mergeCell ref="B18:B19"/>
    <mergeCell ref="C18:C19"/>
    <mergeCell ref="D18:D19"/>
    <mergeCell ref="AH18:AH19"/>
    <mergeCell ref="AI18:AI19"/>
    <mergeCell ref="A16:A17"/>
    <mergeCell ref="B16:B17"/>
    <mergeCell ref="C16:C17"/>
    <mergeCell ref="D16:D17"/>
    <mergeCell ref="AH16:AH17"/>
    <mergeCell ref="K73:R73"/>
    <mergeCell ref="A36:AI36"/>
    <mergeCell ref="A37:AI37"/>
    <mergeCell ref="A39:A41"/>
    <mergeCell ref="B39:B41"/>
    <mergeCell ref="C39:E39"/>
    <mergeCell ref="F39:L39"/>
    <mergeCell ref="M39:S39"/>
    <mergeCell ref="T39:Z39"/>
    <mergeCell ref="AA39:AG39"/>
    <mergeCell ref="AH39:AI39"/>
    <mergeCell ref="C40:E40"/>
    <mergeCell ref="A42:A45"/>
    <mergeCell ref="A46:A49"/>
    <mergeCell ref="B67:C67"/>
    <mergeCell ref="I67:T67"/>
    <mergeCell ref="AO12:AO14"/>
    <mergeCell ref="AP12:AP14"/>
    <mergeCell ref="B25:C25"/>
    <mergeCell ref="A33:D33"/>
    <mergeCell ref="A34:D34"/>
    <mergeCell ref="L34:AG34"/>
    <mergeCell ref="A20:A21"/>
    <mergeCell ref="B20:B21"/>
    <mergeCell ref="C20:C21"/>
    <mergeCell ref="D20:D21"/>
    <mergeCell ref="A12:A14"/>
    <mergeCell ref="B12:B14"/>
    <mergeCell ref="C12:C14"/>
    <mergeCell ref="D12:D14"/>
    <mergeCell ref="AH12:AH14"/>
    <mergeCell ref="AI12:AI14"/>
    <mergeCell ref="D10:D11"/>
    <mergeCell ref="AA7:AG7"/>
    <mergeCell ref="AH7:AH9"/>
    <mergeCell ref="AI7:AI9"/>
    <mergeCell ref="C8:E8"/>
    <mergeCell ref="T7:Z7"/>
    <mergeCell ref="A7:A9"/>
    <mergeCell ref="B7:B9"/>
    <mergeCell ref="C7:E7"/>
    <mergeCell ref="F7:L7"/>
    <mergeCell ref="M7:S7"/>
    <mergeCell ref="A5:AI5"/>
    <mergeCell ref="A1:D1"/>
    <mergeCell ref="L1:AF1"/>
    <mergeCell ref="A2:D2"/>
    <mergeCell ref="L2:AF2"/>
    <mergeCell ref="A4:AI4"/>
    <mergeCell ref="AI22:AI23"/>
    <mergeCell ref="AO22:AO23"/>
    <mergeCell ref="AP22:AP23"/>
    <mergeCell ref="A22:A23"/>
    <mergeCell ref="B22:B23"/>
    <mergeCell ref="C22:C23"/>
    <mergeCell ref="D22:D23"/>
    <mergeCell ref="AH22:AH23"/>
  </mergeCells>
  <pageMargins left="0.2" right="0.1" top="0.511811023622047" bottom="0.511811023622047" header="0.31496062992126" footer="0.31496062992126"/>
  <pageSetup paperSize="9" scale="86" orientation="landscape" verticalDpi="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60283-79F1-423C-8911-AFB3FEC45BFB}">
  <dimension ref="A1:AP137"/>
  <sheetViews>
    <sheetView tabSelected="1" topLeftCell="A38" zoomScale="118" zoomScaleNormal="118" workbookViewId="0">
      <selection activeCell="B42" sqref="B42"/>
    </sheetView>
  </sheetViews>
  <sheetFormatPr defaultRowHeight="18.75" x14ac:dyDescent="0.3"/>
  <cols>
    <col min="1" max="1" width="10.6640625" style="30" customWidth="1"/>
    <col min="2" max="2" width="15.21875" style="30" customWidth="1"/>
    <col min="3" max="3" width="15" style="30" customWidth="1"/>
    <col min="4" max="4" width="7.44140625" style="4" customWidth="1"/>
    <col min="5" max="5" width="5.6640625" style="4" customWidth="1"/>
    <col min="6" max="10" width="2.33203125" style="30" customWidth="1"/>
    <col min="11" max="11" width="2.21875" style="30" customWidth="1"/>
    <col min="12" max="33" width="2.33203125" style="30" customWidth="1"/>
    <col min="34" max="34" width="3.6640625" style="4" customWidth="1"/>
    <col min="35" max="35" width="5.44140625" style="55" customWidth="1"/>
    <col min="36" max="16384" width="8.88671875" style="30"/>
  </cols>
  <sheetData>
    <row r="1" spans="1:36" s="27" customFormat="1" ht="18" customHeight="1" x14ac:dyDescent="0.25">
      <c r="A1" s="98" t="s">
        <v>96</v>
      </c>
      <c r="B1" s="98"/>
      <c r="C1" s="98"/>
      <c r="D1" s="98"/>
      <c r="E1" s="3"/>
      <c r="L1" s="121" t="s">
        <v>1</v>
      </c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28"/>
      <c r="AH1" s="43"/>
      <c r="AI1" s="55"/>
    </row>
    <row r="2" spans="1:36" s="27" customFormat="1" ht="16.5" customHeight="1" x14ac:dyDescent="0.3">
      <c r="A2" s="97" t="s">
        <v>106</v>
      </c>
      <c r="B2" s="97"/>
      <c r="C2" s="97"/>
      <c r="D2" s="97"/>
      <c r="E2" s="3"/>
      <c r="L2" s="97" t="s">
        <v>3</v>
      </c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29"/>
      <c r="AH2" s="43"/>
      <c r="AI2" s="55"/>
    </row>
    <row r="3" spans="1:36" ht="12" customHeight="1" x14ac:dyDescent="0.3"/>
    <row r="4" spans="1:36" ht="18.75" customHeight="1" x14ac:dyDescent="0.3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</row>
    <row r="5" spans="1:36" ht="16.5" customHeight="1" x14ac:dyDescent="0.3">
      <c r="A5" s="97" t="s">
        <v>185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</row>
    <row r="6" spans="1:36" ht="1.5" customHeight="1" x14ac:dyDescent="0.3"/>
    <row r="7" spans="1:36" s="32" customFormat="1" ht="16.5" customHeight="1" x14ac:dyDescent="0.25">
      <c r="A7" s="102" t="s">
        <v>4</v>
      </c>
      <c r="B7" s="102" t="s">
        <v>6</v>
      </c>
      <c r="C7" s="106" t="s">
        <v>11</v>
      </c>
      <c r="D7" s="106"/>
      <c r="E7" s="106"/>
      <c r="F7" s="106">
        <v>1</v>
      </c>
      <c r="G7" s="106"/>
      <c r="H7" s="106"/>
      <c r="I7" s="106"/>
      <c r="J7" s="106"/>
      <c r="K7" s="106"/>
      <c r="L7" s="106"/>
      <c r="M7" s="106">
        <v>2</v>
      </c>
      <c r="N7" s="106"/>
      <c r="O7" s="106"/>
      <c r="P7" s="106"/>
      <c r="Q7" s="106"/>
      <c r="R7" s="106"/>
      <c r="S7" s="106"/>
      <c r="T7" s="106">
        <v>3</v>
      </c>
      <c r="U7" s="106"/>
      <c r="V7" s="106"/>
      <c r="W7" s="106"/>
      <c r="X7" s="106"/>
      <c r="Y7" s="106"/>
      <c r="Z7" s="106"/>
      <c r="AA7" s="106">
        <v>4</v>
      </c>
      <c r="AB7" s="106"/>
      <c r="AC7" s="106"/>
      <c r="AD7" s="106"/>
      <c r="AE7" s="106"/>
      <c r="AF7" s="106"/>
      <c r="AG7" s="106"/>
      <c r="AH7" s="119" t="s">
        <v>8</v>
      </c>
      <c r="AI7" s="120" t="s">
        <v>41</v>
      </c>
    </row>
    <row r="8" spans="1:36" s="32" customFormat="1" ht="16.5" customHeight="1" x14ac:dyDescent="0.25">
      <c r="A8" s="102"/>
      <c r="B8" s="102"/>
      <c r="C8" s="106" t="s">
        <v>10</v>
      </c>
      <c r="D8" s="106"/>
      <c r="E8" s="106"/>
      <c r="F8" s="1">
        <v>2</v>
      </c>
      <c r="G8" s="1">
        <v>3</v>
      </c>
      <c r="H8" s="1">
        <v>4</v>
      </c>
      <c r="I8" s="1">
        <v>5</v>
      </c>
      <c r="J8" s="1">
        <v>6</v>
      </c>
      <c r="K8" s="33">
        <v>7</v>
      </c>
      <c r="L8" s="33">
        <v>8</v>
      </c>
      <c r="M8" s="1">
        <v>9</v>
      </c>
      <c r="N8" s="1">
        <v>10</v>
      </c>
      <c r="O8" s="1">
        <v>11</v>
      </c>
      <c r="P8" s="1">
        <v>12</v>
      </c>
      <c r="Q8" s="1">
        <v>13</v>
      </c>
      <c r="R8" s="33">
        <v>14</v>
      </c>
      <c r="S8" s="33">
        <v>15</v>
      </c>
      <c r="T8" s="1">
        <v>16</v>
      </c>
      <c r="U8" s="1">
        <v>17</v>
      </c>
      <c r="V8" s="1">
        <v>18</v>
      </c>
      <c r="W8" s="1">
        <v>19</v>
      </c>
      <c r="X8" s="1">
        <v>20</v>
      </c>
      <c r="Y8" s="33">
        <v>21</v>
      </c>
      <c r="Z8" s="33">
        <v>22</v>
      </c>
      <c r="AA8" s="1">
        <v>23</v>
      </c>
      <c r="AB8" s="1">
        <v>24</v>
      </c>
      <c r="AC8" s="1">
        <v>25</v>
      </c>
      <c r="AD8" s="1">
        <v>26</v>
      </c>
      <c r="AE8" s="1">
        <v>27</v>
      </c>
      <c r="AF8" s="33">
        <v>28</v>
      </c>
      <c r="AG8" s="33">
        <v>29</v>
      </c>
      <c r="AH8" s="119"/>
      <c r="AI8" s="120"/>
    </row>
    <row r="9" spans="1:36" s="32" customFormat="1" ht="16.5" customHeight="1" x14ac:dyDescent="0.25">
      <c r="A9" s="102"/>
      <c r="B9" s="102"/>
      <c r="C9" s="1" t="s">
        <v>5</v>
      </c>
      <c r="D9" s="1" t="s">
        <v>19</v>
      </c>
      <c r="E9" s="1" t="s">
        <v>18</v>
      </c>
      <c r="F9" s="1">
        <v>2</v>
      </c>
      <c r="G9" s="1">
        <v>3</v>
      </c>
      <c r="H9" s="1">
        <v>4</v>
      </c>
      <c r="I9" s="1">
        <v>5</v>
      </c>
      <c r="J9" s="1">
        <v>6</v>
      </c>
      <c r="K9" s="33">
        <v>7</v>
      </c>
      <c r="L9" s="33" t="s">
        <v>7</v>
      </c>
      <c r="M9" s="1">
        <v>2</v>
      </c>
      <c r="N9" s="1">
        <v>3</v>
      </c>
      <c r="O9" s="1">
        <v>4</v>
      </c>
      <c r="P9" s="1">
        <v>5</v>
      </c>
      <c r="Q9" s="1">
        <v>6</v>
      </c>
      <c r="R9" s="33">
        <v>7</v>
      </c>
      <c r="S9" s="33" t="s">
        <v>7</v>
      </c>
      <c r="T9" s="1">
        <v>2</v>
      </c>
      <c r="U9" s="1">
        <v>3</v>
      </c>
      <c r="V9" s="1">
        <v>4</v>
      </c>
      <c r="W9" s="1">
        <v>5</v>
      </c>
      <c r="X9" s="1">
        <v>6</v>
      </c>
      <c r="Y9" s="33">
        <v>7</v>
      </c>
      <c r="Z9" s="33" t="s">
        <v>7</v>
      </c>
      <c r="AA9" s="1">
        <v>2</v>
      </c>
      <c r="AB9" s="1">
        <v>3</v>
      </c>
      <c r="AC9" s="1">
        <v>4</v>
      </c>
      <c r="AD9" s="1">
        <v>5</v>
      </c>
      <c r="AE9" s="1">
        <v>6</v>
      </c>
      <c r="AF9" s="33">
        <v>7</v>
      </c>
      <c r="AG9" s="33" t="s">
        <v>7</v>
      </c>
      <c r="AH9" s="119"/>
      <c r="AI9" s="120"/>
    </row>
    <row r="10" spans="1:36" s="32" customFormat="1" ht="25.5" customHeight="1" x14ac:dyDescent="0.25">
      <c r="A10" s="99" t="s">
        <v>118</v>
      </c>
      <c r="B10" s="38" t="s">
        <v>25</v>
      </c>
      <c r="C10" s="38" t="s">
        <v>86</v>
      </c>
      <c r="D10" s="36" t="s">
        <v>115</v>
      </c>
      <c r="E10" s="2" t="s">
        <v>16</v>
      </c>
      <c r="F10" s="2">
        <v>4</v>
      </c>
      <c r="G10" s="2"/>
      <c r="H10" s="2"/>
      <c r="I10" s="2"/>
      <c r="J10" s="2"/>
      <c r="K10" s="37"/>
      <c r="L10" s="37"/>
      <c r="M10" s="2">
        <v>4</v>
      </c>
      <c r="N10" s="2"/>
      <c r="O10" s="2"/>
      <c r="P10" s="2"/>
      <c r="Q10" s="2"/>
      <c r="R10" s="37"/>
      <c r="S10" s="37"/>
      <c r="T10" s="2">
        <v>4</v>
      </c>
      <c r="U10" s="2"/>
      <c r="V10" s="2"/>
      <c r="W10" s="2"/>
      <c r="X10" s="2"/>
      <c r="Y10" s="37"/>
      <c r="Z10" s="37"/>
      <c r="AA10" s="2">
        <v>4</v>
      </c>
      <c r="AB10" s="2"/>
      <c r="AC10" s="2"/>
      <c r="AD10" s="2"/>
      <c r="AE10" s="2"/>
      <c r="AF10" s="33"/>
      <c r="AG10" s="33"/>
      <c r="AH10" s="45">
        <f t="shared" ref="AH10:AH41" si="0">SUM(F10:AG10)</f>
        <v>16</v>
      </c>
      <c r="AI10" s="56" t="s">
        <v>263</v>
      </c>
    </row>
    <row r="11" spans="1:36" s="32" customFormat="1" ht="60" customHeight="1" x14ac:dyDescent="0.25">
      <c r="A11" s="100"/>
      <c r="B11" s="40" t="s">
        <v>129</v>
      </c>
      <c r="C11" s="38" t="s">
        <v>31</v>
      </c>
      <c r="D11" s="36" t="s">
        <v>107</v>
      </c>
      <c r="E11" s="2" t="s">
        <v>15</v>
      </c>
      <c r="F11" s="2"/>
      <c r="G11" s="2">
        <v>4</v>
      </c>
      <c r="H11" s="2"/>
      <c r="I11" s="1"/>
      <c r="J11" s="1"/>
      <c r="K11" s="33"/>
      <c r="L11" s="33"/>
      <c r="M11" s="2"/>
      <c r="N11" s="2">
        <v>4</v>
      </c>
      <c r="O11" s="2"/>
      <c r="P11" s="1"/>
      <c r="Q11" s="1"/>
      <c r="R11" s="33"/>
      <c r="S11" s="33"/>
      <c r="T11" s="2"/>
      <c r="U11" s="2">
        <v>4</v>
      </c>
      <c r="V11" s="2"/>
      <c r="W11" s="1"/>
      <c r="X11" s="1"/>
      <c r="Y11" s="33"/>
      <c r="Z11" s="33"/>
      <c r="AA11" s="2"/>
      <c r="AB11" s="2">
        <v>4</v>
      </c>
      <c r="AC11" s="2"/>
      <c r="AD11" s="1"/>
      <c r="AE11" s="1"/>
      <c r="AF11" s="33"/>
      <c r="AG11" s="33"/>
      <c r="AH11" s="45">
        <f t="shared" ref="AH11:AH12" si="1">SUM(F11:AG11)</f>
        <v>16</v>
      </c>
      <c r="AI11" s="56" t="s">
        <v>208</v>
      </c>
      <c r="AJ11" s="32">
        <v>40</v>
      </c>
    </row>
    <row r="12" spans="1:36" s="32" customFormat="1" ht="32.25" customHeight="1" x14ac:dyDescent="0.25">
      <c r="A12" s="100"/>
      <c r="B12" s="40" t="s">
        <v>209</v>
      </c>
      <c r="C12" s="38" t="s">
        <v>35</v>
      </c>
      <c r="D12" s="36" t="s">
        <v>107</v>
      </c>
      <c r="E12" s="2" t="s">
        <v>204</v>
      </c>
      <c r="F12" s="2"/>
      <c r="G12" s="2">
        <v>5</v>
      </c>
      <c r="H12" s="2"/>
      <c r="I12" s="1"/>
      <c r="J12" s="1"/>
      <c r="K12" s="33"/>
      <c r="L12" s="33"/>
      <c r="M12" s="2"/>
      <c r="N12" s="2">
        <v>5</v>
      </c>
      <c r="O12" s="2"/>
      <c r="P12" s="1"/>
      <c r="Q12" s="1"/>
      <c r="R12" s="33"/>
      <c r="S12" s="33"/>
      <c r="T12" s="2"/>
      <c r="U12" s="2">
        <v>5</v>
      </c>
      <c r="V12" s="2"/>
      <c r="W12" s="1"/>
      <c r="X12" s="1"/>
      <c r="Y12" s="33"/>
      <c r="Z12" s="33"/>
      <c r="AA12" s="2"/>
      <c r="AB12" s="2">
        <v>5</v>
      </c>
      <c r="AC12" s="2"/>
      <c r="AD12" s="1"/>
      <c r="AE12" s="1"/>
      <c r="AF12" s="33"/>
      <c r="AG12" s="33"/>
      <c r="AH12" s="45">
        <f t="shared" si="1"/>
        <v>20</v>
      </c>
      <c r="AI12" s="57" t="s">
        <v>150</v>
      </c>
    </row>
    <row r="13" spans="1:36" s="32" customFormat="1" ht="42.75" customHeight="1" x14ac:dyDescent="0.25">
      <c r="A13" s="100"/>
      <c r="B13" s="40" t="s">
        <v>206</v>
      </c>
      <c r="C13" s="38" t="s">
        <v>207</v>
      </c>
      <c r="D13" s="36" t="s">
        <v>107</v>
      </c>
      <c r="E13" s="2" t="s">
        <v>204</v>
      </c>
      <c r="F13" s="2"/>
      <c r="G13" s="2"/>
      <c r="H13" s="2">
        <v>5</v>
      </c>
      <c r="I13" s="42"/>
      <c r="J13" s="42"/>
      <c r="K13" s="66"/>
      <c r="L13" s="66"/>
      <c r="M13" s="2"/>
      <c r="N13" s="2"/>
      <c r="O13" s="2">
        <v>5</v>
      </c>
      <c r="P13" s="2">
        <v>5</v>
      </c>
      <c r="Q13" s="42"/>
      <c r="R13" s="66"/>
      <c r="S13" s="66"/>
      <c r="T13" s="2"/>
      <c r="U13" s="2"/>
      <c r="V13" s="2">
        <v>5</v>
      </c>
      <c r="W13" s="2">
        <v>5</v>
      </c>
      <c r="X13" s="42"/>
      <c r="Y13" s="66"/>
      <c r="Z13" s="66"/>
      <c r="AA13" s="2"/>
      <c r="AB13" s="2"/>
      <c r="AC13" s="2">
        <v>5</v>
      </c>
      <c r="AD13" s="42"/>
      <c r="AE13" s="42"/>
      <c r="AF13" s="33"/>
      <c r="AG13" s="33"/>
      <c r="AH13" s="45">
        <f t="shared" si="0"/>
        <v>30</v>
      </c>
      <c r="AI13" s="56" t="s">
        <v>174</v>
      </c>
    </row>
    <row r="14" spans="1:36" s="32" customFormat="1" ht="29.25" customHeight="1" x14ac:dyDescent="0.25">
      <c r="A14" s="101"/>
      <c r="B14" s="35" t="s">
        <v>27</v>
      </c>
      <c r="C14" s="38" t="s">
        <v>31</v>
      </c>
      <c r="D14" s="36" t="s">
        <v>107</v>
      </c>
      <c r="E14" s="2" t="s">
        <v>132</v>
      </c>
      <c r="F14" s="31"/>
      <c r="G14" s="42">
        <v>1</v>
      </c>
      <c r="H14" s="42"/>
      <c r="I14" s="42"/>
      <c r="J14" s="42"/>
      <c r="K14" s="66"/>
      <c r="L14" s="66"/>
      <c r="M14" s="42"/>
      <c r="N14" s="42">
        <v>1</v>
      </c>
      <c r="O14" s="42"/>
      <c r="P14" s="42"/>
      <c r="Q14" s="42"/>
      <c r="R14" s="66"/>
      <c r="S14" s="66"/>
      <c r="T14" s="42"/>
      <c r="U14" s="42">
        <v>1</v>
      </c>
      <c r="V14" s="42"/>
      <c r="W14" s="42"/>
      <c r="X14" s="42"/>
      <c r="Y14" s="66"/>
      <c r="Z14" s="66"/>
      <c r="AA14" s="42"/>
      <c r="AB14" s="42">
        <v>1</v>
      </c>
      <c r="AC14" s="1"/>
      <c r="AD14" s="1"/>
      <c r="AE14" s="1"/>
      <c r="AF14" s="33"/>
      <c r="AG14" s="33"/>
      <c r="AH14" s="45">
        <f t="shared" si="0"/>
        <v>4</v>
      </c>
      <c r="AI14" s="56"/>
    </row>
    <row r="15" spans="1:36" s="32" customFormat="1" ht="40.5" customHeight="1" x14ac:dyDescent="0.25">
      <c r="A15" s="99" t="s">
        <v>91</v>
      </c>
      <c r="B15" s="40" t="s">
        <v>147</v>
      </c>
      <c r="C15" s="38" t="s">
        <v>31</v>
      </c>
      <c r="D15" s="36" t="s">
        <v>107</v>
      </c>
      <c r="E15" s="2" t="s">
        <v>15</v>
      </c>
      <c r="F15" s="2">
        <v>4</v>
      </c>
      <c r="G15" s="2"/>
      <c r="H15" s="2"/>
      <c r="I15" s="2"/>
      <c r="J15" s="2"/>
      <c r="K15" s="37"/>
      <c r="L15" s="37"/>
      <c r="M15" s="2">
        <v>5</v>
      </c>
      <c r="N15" s="2"/>
      <c r="O15" s="2"/>
      <c r="P15" s="2"/>
      <c r="Q15" s="2"/>
      <c r="R15" s="37"/>
      <c r="S15" s="37"/>
      <c r="T15" s="2"/>
      <c r="U15" s="2"/>
      <c r="V15" s="2"/>
      <c r="W15" s="2"/>
      <c r="X15" s="2"/>
      <c r="Y15" s="37"/>
      <c r="Z15" s="37"/>
      <c r="AA15" s="2"/>
      <c r="AB15" s="2"/>
      <c r="AC15" s="2"/>
      <c r="AD15" s="2"/>
      <c r="AE15" s="2"/>
      <c r="AF15" s="37"/>
      <c r="AG15" s="37"/>
      <c r="AH15" s="45">
        <f t="shared" si="0"/>
        <v>9</v>
      </c>
      <c r="AI15" s="56" t="s">
        <v>108</v>
      </c>
    </row>
    <row r="16" spans="1:36" s="32" customFormat="1" ht="27.75" customHeight="1" x14ac:dyDescent="0.25">
      <c r="A16" s="100"/>
      <c r="B16" s="38" t="s">
        <v>148</v>
      </c>
      <c r="C16" s="38" t="s">
        <v>31</v>
      </c>
      <c r="D16" s="36" t="s">
        <v>107</v>
      </c>
      <c r="E16" s="2" t="s">
        <v>16</v>
      </c>
      <c r="F16" s="2"/>
      <c r="G16" s="2">
        <v>4</v>
      </c>
      <c r="H16" s="2"/>
      <c r="I16" s="2"/>
      <c r="J16" s="2"/>
      <c r="K16" s="37"/>
      <c r="L16" s="37"/>
      <c r="M16" s="2"/>
      <c r="N16" s="2">
        <v>4</v>
      </c>
      <c r="O16" s="2"/>
      <c r="P16" s="2"/>
      <c r="Q16" s="2"/>
      <c r="R16" s="37"/>
      <c r="S16" s="37"/>
      <c r="T16" s="2">
        <v>5</v>
      </c>
      <c r="U16" s="2"/>
      <c r="V16" s="2"/>
      <c r="W16" s="2"/>
      <c r="X16" s="2"/>
      <c r="Y16" s="37"/>
      <c r="Z16" s="37"/>
      <c r="AA16" s="2"/>
      <c r="AB16" s="2"/>
      <c r="AC16" s="2"/>
      <c r="AD16" s="2"/>
      <c r="AE16" s="2"/>
      <c r="AF16" s="37"/>
      <c r="AG16" s="37"/>
      <c r="AH16" s="45">
        <f t="shared" ref="AH16" si="2">SUM(F16:AG16)</f>
        <v>13</v>
      </c>
      <c r="AI16" s="58" t="s">
        <v>108</v>
      </c>
    </row>
    <row r="17" spans="1:35" s="32" customFormat="1" ht="20.25" customHeight="1" x14ac:dyDescent="0.25">
      <c r="A17" s="101"/>
      <c r="B17" s="35" t="s">
        <v>27</v>
      </c>
      <c r="C17" s="38" t="s">
        <v>26</v>
      </c>
      <c r="D17" s="36" t="s">
        <v>107</v>
      </c>
      <c r="E17" s="2" t="s">
        <v>116</v>
      </c>
      <c r="F17" s="2">
        <v>1</v>
      </c>
      <c r="G17" s="2"/>
      <c r="H17" s="2"/>
      <c r="I17" s="2"/>
      <c r="J17" s="2"/>
      <c r="K17" s="37"/>
      <c r="L17" s="37"/>
      <c r="M17" s="2"/>
      <c r="N17" s="2">
        <v>1</v>
      </c>
      <c r="O17" s="2"/>
      <c r="P17" s="2"/>
      <c r="Q17" s="2"/>
      <c r="R17" s="37"/>
      <c r="S17" s="37"/>
      <c r="T17" s="2"/>
      <c r="U17" s="2"/>
      <c r="V17" s="2"/>
      <c r="W17" s="2"/>
      <c r="X17" s="2"/>
      <c r="Y17" s="37"/>
      <c r="Z17" s="37"/>
      <c r="AA17" s="2"/>
      <c r="AB17" s="2"/>
      <c r="AC17" s="2"/>
      <c r="AD17" s="2"/>
      <c r="AE17" s="2"/>
      <c r="AF17" s="37"/>
      <c r="AG17" s="37"/>
      <c r="AH17" s="45">
        <f t="shared" si="0"/>
        <v>2</v>
      </c>
      <c r="AI17" s="58"/>
    </row>
    <row r="18" spans="1:35" s="32" customFormat="1" ht="27" customHeight="1" x14ac:dyDescent="0.25">
      <c r="A18" s="99" t="s">
        <v>97</v>
      </c>
      <c r="B18" s="40" t="s">
        <v>158</v>
      </c>
      <c r="C18" s="38" t="s">
        <v>35</v>
      </c>
      <c r="D18" s="36" t="s">
        <v>107</v>
      </c>
      <c r="E18" s="2" t="s">
        <v>17</v>
      </c>
      <c r="F18" s="2">
        <v>5</v>
      </c>
      <c r="G18" s="2"/>
      <c r="H18" s="42"/>
      <c r="I18" s="42"/>
      <c r="J18" s="42"/>
      <c r="K18" s="66"/>
      <c r="L18" s="66"/>
      <c r="M18" s="2">
        <v>5</v>
      </c>
      <c r="N18" s="2"/>
      <c r="O18" s="42"/>
      <c r="P18" s="42"/>
      <c r="Q18" s="42"/>
      <c r="R18" s="66"/>
      <c r="S18" s="66"/>
      <c r="T18" s="2">
        <v>5</v>
      </c>
      <c r="U18" s="2"/>
      <c r="V18" s="42"/>
      <c r="W18" s="42"/>
      <c r="X18" s="42"/>
      <c r="Y18" s="66"/>
      <c r="Z18" s="66"/>
      <c r="AA18" s="2">
        <v>5</v>
      </c>
      <c r="AB18" s="2"/>
      <c r="AC18" s="42"/>
      <c r="AD18" s="42"/>
      <c r="AE18" s="42"/>
      <c r="AF18" s="37"/>
      <c r="AG18" s="37"/>
      <c r="AH18" s="45">
        <f t="shared" ref="AH18" si="3">SUM(F18:AG18)</f>
        <v>20</v>
      </c>
      <c r="AI18" s="58" t="s">
        <v>150</v>
      </c>
    </row>
    <row r="19" spans="1:35" s="32" customFormat="1" ht="27" customHeight="1" x14ac:dyDescent="0.25">
      <c r="A19" s="100"/>
      <c r="B19" s="38" t="s">
        <v>30</v>
      </c>
      <c r="C19" s="38" t="s">
        <v>26</v>
      </c>
      <c r="D19" s="36" t="s">
        <v>107</v>
      </c>
      <c r="E19" s="2" t="s">
        <v>17</v>
      </c>
      <c r="F19" s="2"/>
      <c r="G19" s="2">
        <v>4</v>
      </c>
      <c r="H19" s="2">
        <v>4</v>
      </c>
      <c r="I19" s="2"/>
      <c r="J19" s="2"/>
      <c r="K19" s="37"/>
      <c r="L19" s="37"/>
      <c r="M19" s="2"/>
      <c r="N19" s="2">
        <v>4</v>
      </c>
      <c r="O19" s="2">
        <v>4</v>
      </c>
      <c r="P19" s="2"/>
      <c r="Q19" s="2"/>
      <c r="R19" s="37"/>
      <c r="S19" s="37"/>
      <c r="T19" s="2"/>
      <c r="U19" s="2">
        <v>4</v>
      </c>
      <c r="V19" s="2">
        <v>4</v>
      </c>
      <c r="W19" s="2"/>
      <c r="X19" s="2"/>
      <c r="Y19" s="37"/>
      <c r="Z19" s="37"/>
      <c r="AA19" s="2"/>
      <c r="AB19" s="2">
        <v>4</v>
      </c>
      <c r="AC19" s="2">
        <v>4</v>
      </c>
      <c r="AD19" s="2"/>
      <c r="AE19" s="2"/>
      <c r="AF19" s="37"/>
      <c r="AG19" s="37"/>
      <c r="AH19" s="45">
        <f t="shared" si="0"/>
        <v>32</v>
      </c>
      <c r="AI19" s="58" t="s">
        <v>224</v>
      </c>
    </row>
    <row r="20" spans="1:35" s="32" customFormat="1" ht="27" customHeight="1" x14ac:dyDescent="0.25">
      <c r="A20" s="100"/>
      <c r="B20" s="38" t="s">
        <v>149</v>
      </c>
      <c r="C20" s="38" t="s">
        <v>26</v>
      </c>
      <c r="D20" s="36" t="s">
        <v>107</v>
      </c>
      <c r="E20" s="2" t="s">
        <v>17</v>
      </c>
      <c r="F20" s="2"/>
      <c r="G20" s="2"/>
      <c r="H20" s="2"/>
      <c r="I20" s="2">
        <v>4</v>
      </c>
      <c r="J20" s="2"/>
      <c r="K20" s="37"/>
      <c r="L20" s="37"/>
      <c r="M20" s="2"/>
      <c r="N20" s="2"/>
      <c r="O20" s="2"/>
      <c r="P20" s="2">
        <v>5</v>
      </c>
      <c r="Q20" s="2"/>
      <c r="R20" s="37"/>
      <c r="S20" s="37"/>
      <c r="T20" s="2"/>
      <c r="U20" s="2"/>
      <c r="V20" s="2"/>
      <c r="W20" s="2"/>
      <c r="X20" s="2"/>
      <c r="Y20" s="37"/>
      <c r="Z20" s="37"/>
      <c r="AA20" s="2"/>
      <c r="AB20" s="2"/>
      <c r="AC20" s="2"/>
      <c r="AD20" s="2"/>
      <c r="AE20" s="2"/>
      <c r="AF20" s="37"/>
      <c r="AG20" s="37"/>
      <c r="AH20" s="45">
        <f t="shared" si="0"/>
        <v>9</v>
      </c>
      <c r="AI20" s="58" t="s">
        <v>108</v>
      </c>
    </row>
    <row r="21" spans="1:35" s="32" customFormat="1" ht="27" customHeight="1" x14ac:dyDescent="0.25">
      <c r="A21" s="101"/>
      <c r="B21" s="38" t="s">
        <v>101</v>
      </c>
      <c r="C21" s="38" t="s">
        <v>95</v>
      </c>
      <c r="D21" s="36" t="s">
        <v>107</v>
      </c>
      <c r="E21" s="2" t="s">
        <v>116</v>
      </c>
      <c r="F21" s="2">
        <v>1</v>
      </c>
      <c r="G21" s="2"/>
      <c r="H21" s="2"/>
      <c r="I21" s="2"/>
      <c r="J21" s="2"/>
      <c r="K21" s="37"/>
      <c r="L21" s="37"/>
      <c r="M21" s="2">
        <v>1</v>
      </c>
      <c r="N21" s="2"/>
      <c r="O21" s="2"/>
      <c r="P21" s="2"/>
      <c r="Q21" s="2"/>
      <c r="R21" s="37"/>
      <c r="S21" s="37"/>
      <c r="T21" s="2">
        <v>1</v>
      </c>
      <c r="U21" s="2"/>
      <c r="V21" s="2"/>
      <c r="W21" s="2"/>
      <c r="X21" s="2"/>
      <c r="Y21" s="37"/>
      <c r="Z21" s="37"/>
      <c r="AA21" s="2">
        <v>1</v>
      </c>
      <c r="AB21" s="2"/>
      <c r="AC21" s="2"/>
      <c r="AD21" s="2"/>
      <c r="AE21" s="2"/>
      <c r="AF21" s="37"/>
      <c r="AG21" s="37"/>
      <c r="AH21" s="45">
        <f t="shared" si="0"/>
        <v>4</v>
      </c>
      <c r="AI21" s="58"/>
    </row>
    <row r="22" spans="1:35" s="32" customFormat="1" ht="29.25" customHeight="1" x14ac:dyDescent="0.25">
      <c r="A22" s="99" t="s">
        <v>98</v>
      </c>
      <c r="B22" s="40" t="s">
        <v>158</v>
      </c>
      <c r="C22" s="38" t="s">
        <v>35</v>
      </c>
      <c r="D22" s="36" t="s">
        <v>107</v>
      </c>
      <c r="E22" s="2" t="s">
        <v>17</v>
      </c>
      <c r="F22" s="2">
        <v>5</v>
      </c>
      <c r="G22" s="2"/>
      <c r="H22" s="42"/>
      <c r="I22" s="42"/>
      <c r="J22" s="42"/>
      <c r="K22" s="66"/>
      <c r="L22" s="66"/>
      <c r="M22" s="2">
        <v>5</v>
      </c>
      <c r="N22" s="2"/>
      <c r="O22" s="42"/>
      <c r="P22" s="42"/>
      <c r="Q22" s="42"/>
      <c r="R22" s="66"/>
      <c r="S22" s="66"/>
      <c r="T22" s="2">
        <v>5</v>
      </c>
      <c r="U22" s="2"/>
      <c r="V22" s="42"/>
      <c r="W22" s="42"/>
      <c r="X22" s="42"/>
      <c r="Y22" s="66"/>
      <c r="Z22" s="66"/>
      <c r="AA22" s="2">
        <v>5</v>
      </c>
      <c r="AB22" s="2"/>
      <c r="AC22" s="42"/>
      <c r="AD22" s="42"/>
      <c r="AE22" s="42"/>
      <c r="AF22" s="37"/>
      <c r="AG22" s="37"/>
      <c r="AH22" s="45">
        <f t="shared" si="0"/>
        <v>20</v>
      </c>
      <c r="AI22" s="59" t="str">
        <f>AI18</f>
        <v>20/45</v>
      </c>
    </row>
    <row r="23" spans="1:35" s="32" customFormat="1" ht="29.25" customHeight="1" x14ac:dyDescent="0.25">
      <c r="A23" s="100"/>
      <c r="B23" s="38" t="s">
        <v>30</v>
      </c>
      <c r="C23" s="38" t="s">
        <v>26</v>
      </c>
      <c r="D23" s="36" t="s">
        <v>107</v>
      </c>
      <c r="E23" s="2" t="s">
        <v>17</v>
      </c>
      <c r="F23" s="2"/>
      <c r="G23" s="2">
        <v>4</v>
      </c>
      <c r="H23" s="2">
        <v>4</v>
      </c>
      <c r="I23" s="2"/>
      <c r="J23" s="2"/>
      <c r="K23" s="37"/>
      <c r="L23" s="37"/>
      <c r="M23" s="2"/>
      <c r="N23" s="2">
        <v>4</v>
      </c>
      <c r="O23" s="2">
        <v>4</v>
      </c>
      <c r="P23" s="2"/>
      <c r="Q23" s="2"/>
      <c r="R23" s="37"/>
      <c r="S23" s="37"/>
      <c r="T23" s="2"/>
      <c r="U23" s="2">
        <v>4</v>
      </c>
      <c r="V23" s="2">
        <v>4</v>
      </c>
      <c r="W23" s="2"/>
      <c r="X23" s="2"/>
      <c r="Y23" s="37"/>
      <c r="Z23" s="37"/>
      <c r="AA23" s="2"/>
      <c r="AB23" s="2">
        <v>4</v>
      </c>
      <c r="AC23" s="2">
        <v>4</v>
      </c>
      <c r="AD23" s="2"/>
      <c r="AE23" s="2"/>
      <c r="AF23" s="37"/>
      <c r="AG23" s="37"/>
      <c r="AH23" s="45">
        <f t="shared" si="0"/>
        <v>32</v>
      </c>
      <c r="AI23" s="59" t="str">
        <f>AI19</f>
        <v>96/120</v>
      </c>
    </row>
    <row r="24" spans="1:35" s="32" customFormat="1" ht="29.25" customHeight="1" x14ac:dyDescent="0.25">
      <c r="A24" s="100"/>
      <c r="B24" s="38" t="s">
        <v>149</v>
      </c>
      <c r="C24" s="38" t="s">
        <v>26</v>
      </c>
      <c r="D24" s="36" t="s">
        <v>107</v>
      </c>
      <c r="E24" s="2" t="s">
        <v>17</v>
      </c>
      <c r="F24" s="2"/>
      <c r="G24" s="2"/>
      <c r="H24" s="2"/>
      <c r="I24" s="2">
        <v>4</v>
      </c>
      <c r="J24" s="2"/>
      <c r="K24" s="37"/>
      <c r="L24" s="37"/>
      <c r="M24" s="2"/>
      <c r="N24" s="2"/>
      <c r="O24" s="2"/>
      <c r="P24" s="2">
        <v>5</v>
      </c>
      <c r="Q24" s="2"/>
      <c r="R24" s="37"/>
      <c r="S24" s="37"/>
      <c r="T24" s="2"/>
      <c r="U24" s="2"/>
      <c r="V24" s="2"/>
      <c r="W24" s="2"/>
      <c r="X24" s="2"/>
      <c r="Y24" s="37"/>
      <c r="Z24" s="37"/>
      <c r="AA24" s="2"/>
      <c r="AB24" s="2"/>
      <c r="AC24" s="2"/>
      <c r="AD24" s="2"/>
      <c r="AE24" s="2"/>
      <c r="AF24" s="37"/>
      <c r="AG24" s="37"/>
      <c r="AH24" s="45">
        <f t="shared" si="0"/>
        <v>9</v>
      </c>
      <c r="AI24" s="59" t="str">
        <f>AI20</f>
        <v>45/45</v>
      </c>
    </row>
    <row r="25" spans="1:35" s="32" customFormat="1" ht="29.25" customHeight="1" x14ac:dyDescent="0.25">
      <c r="A25" s="101"/>
      <c r="B25" s="35" t="s">
        <v>27</v>
      </c>
      <c r="C25" s="35" t="s">
        <v>95</v>
      </c>
      <c r="D25" s="36" t="s">
        <v>107</v>
      </c>
      <c r="E25" s="2" t="s">
        <v>116</v>
      </c>
      <c r="F25" s="2">
        <v>1</v>
      </c>
      <c r="G25" s="2"/>
      <c r="H25" s="2"/>
      <c r="I25" s="2"/>
      <c r="J25" s="2"/>
      <c r="K25" s="37"/>
      <c r="L25" s="37"/>
      <c r="M25" s="2">
        <v>1</v>
      </c>
      <c r="N25" s="2"/>
      <c r="O25" s="2"/>
      <c r="P25" s="2"/>
      <c r="Q25" s="2"/>
      <c r="R25" s="37"/>
      <c r="S25" s="37"/>
      <c r="T25" s="2">
        <v>1</v>
      </c>
      <c r="U25" s="2"/>
      <c r="V25" s="2"/>
      <c r="W25" s="2"/>
      <c r="X25" s="2"/>
      <c r="Y25" s="37"/>
      <c r="Z25" s="37"/>
      <c r="AA25" s="2">
        <v>1</v>
      </c>
      <c r="AB25" s="2"/>
      <c r="AC25" s="2"/>
      <c r="AD25" s="2"/>
      <c r="AE25" s="2"/>
      <c r="AF25" s="37"/>
      <c r="AG25" s="37"/>
      <c r="AH25" s="45">
        <f t="shared" si="0"/>
        <v>4</v>
      </c>
      <c r="AI25" s="58"/>
    </row>
    <row r="26" spans="1:35" s="32" customFormat="1" ht="28.5" customHeight="1" x14ac:dyDescent="0.25">
      <c r="A26" s="99" t="s">
        <v>119</v>
      </c>
      <c r="B26" s="38" t="s">
        <v>25</v>
      </c>
      <c r="C26" s="38" t="s">
        <v>86</v>
      </c>
      <c r="D26" s="36" t="s">
        <v>115</v>
      </c>
      <c r="E26" s="2" t="s">
        <v>16</v>
      </c>
      <c r="F26" s="2">
        <v>4</v>
      </c>
      <c r="G26" s="2"/>
      <c r="H26" s="2"/>
      <c r="I26" s="2"/>
      <c r="J26" s="2"/>
      <c r="K26" s="37"/>
      <c r="L26" s="37"/>
      <c r="M26" s="2">
        <v>4</v>
      </c>
      <c r="N26" s="2"/>
      <c r="O26" s="2"/>
      <c r="P26" s="2"/>
      <c r="Q26" s="2"/>
      <c r="R26" s="37"/>
      <c r="S26" s="37"/>
      <c r="T26" s="2">
        <v>4</v>
      </c>
      <c r="U26" s="2"/>
      <c r="V26" s="2"/>
      <c r="W26" s="2"/>
      <c r="X26" s="2"/>
      <c r="Y26" s="37"/>
      <c r="Z26" s="37"/>
      <c r="AA26" s="2">
        <v>4</v>
      </c>
      <c r="AB26" s="2"/>
      <c r="AC26" s="2"/>
      <c r="AD26" s="2"/>
      <c r="AE26" s="2"/>
      <c r="AF26" s="37"/>
      <c r="AG26" s="37"/>
      <c r="AH26" s="45">
        <f t="shared" si="0"/>
        <v>16</v>
      </c>
      <c r="AI26" s="58" t="s">
        <v>191</v>
      </c>
    </row>
    <row r="27" spans="1:35" s="32" customFormat="1" ht="28.5" customHeight="1" x14ac:dyDescent="0.25">
      <c r="A27" s="100"/>
      <c r="B27" s="38" t="s">
        <v>171</v>
      </c>
      <c r="C27" s="38" t="s">
        <v>95</v>
      </c>
      <c r="D27" s="36" t="s">
        <v>107</v>
      </c>
      <c r="E27" s="2" t="s">
        <v>16</v>
      </c>
      <c r="F27" s="2"/>
      <c r="G27" s="2"/>
      <c r="H27" s="2">
        <v>4</v>
      </c>
      <c r="I27" s="2"/>
      <c r="J27" s="2"/>
      <c r="K27" s="37"/>
      <c r="L27" s="37"/>
      <c r="M27" s="2"/>
      <c r="N27" s="2"/>
      <c r="O27" s="2">
        <v>4</v>
      </c>
      <c r="P27" s="2"/>
      <c r="Q27" s="2"/>
      <c r="R27" s="37"/>
      <c r="S27" s="37"/>
      <c r="T27" s="2"/>
      <c r="U27" s="2"/>
      <c r="V27" s="2">
        <v>4</v>
      </c>
      <c r="W27" s="2"/>
      <c r="X27" s="2"/>
      <c r="Y27" s="37"/>
      <c r="Z27" s="37"/>
      <c r="AA27" s="2"/>
      <c r="AB27" s="2"/>
      <c r="AC27" s="2">
        <v>4</v>
      </c>
      <c r="AD27" s="2"/>
      <c r="AE27" s="2"/>
      <c r="AF27" s="37"/>
      <c r="AG27" s="37"/>
      <c r="AH27" s="45">
        <f t="shared" si="0"/>
        <v>16</v>
      </c>
      <c r="AI27" s="58" t="s">
        <v>112</v>
      </c>
    </row>
    <row r="28" spans="1:35" s="32" customFormat="1" ht="28.5" customHeight="1" x14ac:dyDescent="0.25">
      <c r="A28" s="100"/>
      <c r="B28" s="40" t="s">
        <v>166</v>
      </c>
      <c r="C28" s="38" t="s">
        <v>167</v>
      </c>
      <c r="D28" s="36" t="s">
        <v>115</v>
      </c>
      <c r="E28" s="2" t="s">
        <v>16</v>
      </c>
      <c r="F28" s="2"/>
      <c r="G28" s="2">
        <v>4</v>
      </c>
      <c r="H28" s="2"/>
      <c r="I28" s="2"/>
      <c r="J28" s="2"/>
      <c r="K28" s="37"/>
      <c r="L28" s="37"/>
      <c r="M28" s="2"/>
      <c r="N28" s="2">
        <v>4</v>
      </c>
      <c r="O28" s="2"/>
      <c r="P28" s="2"/>
      <c r="Q28" s="2"/>
      <c r="R28" s="37"/>
      <c r="S28" s="37"/>
      <c r="T28" s="2"/>
      <c r="U28" s="2">
        <v>4</v>
      </c>
      <c r="V28" s="2"/>
      <c r="W28" s="2"/>
      <c r="X28" s="2"/>
      <c r="Y28" s="37"/>
      <c r="Z28" s="37"/>
      <c r="AA28" s="2"/>
      <c r="AB28" s="2">
        <v>4</v>
      </c>
      <c r="AC28" s="2"/>
      <c r="AD28" s="2"/>
      <c r="AE28" s="2"/>
      <c r="AF28" s="37"/>
      <c r="AG28" s="37"/>
      <c r="AH28" s="45">
        <f t="shared" si="0"/>
        <v>16</v>
      </c>
      <c r="AI28" s="58" t="s">
        <v>192</v>
      </c>
    </row>
    <row r="29" spans="1:35" s="32" customFormat="1" ht="28.5" customHeight="1" x14ac:dyDescent="0.25">
      <c r="A29" s="100"/>
      <c r="B29" s="38" t="s">
        <v>93</v>
      </c>
      <c r="C29" s="38" t="s">
        <v>103</v>
      </c>
      <c r="D29" s="36">
        <v>2.4</v>
      </c>
      <c r="E29" s="2" t="s">
        <v>15</v>
      </c>
      <c r="F29" s="2"/>
      <c r="G29" s="2"/>
      <c r="H29" s="2">
        <v>4</v>
      </c>
      <c r="I29" s="2"/>
      <c r="J29" s="2"/>
      <c r="K29" s="37"/>
      <c r="L29" s="37"/>
      <c r="M29" s="2"/>
      <c r="N29" s="2"/>
      <c r="O29" s="2">
        <v>4</v>
      </c>
      <c r="P29" s="2"/>
      <c r="Q29" s="2"/>
      <c r="R29" s="37"/>
      <c r="S29" s="37"/>
      <c r="T29" s="2"/>
      <c r="U29" s="2"/>
      <c r="V29" s="2">
        <v>4</v>
      </c>
      <c r="W29" s="2"/>
      <c r="X29" s="2"/>
      <c r="Y29" s="37"/>
      <c r="Z29" s="37"/>
      <c r="AA29" s="2"/>
      <c r="AB29" s="2"/>
      <c r="AC29" s="2">
        <v>4</v>
      </c>
      <c r="AD29" s="2"/>
      <c r="AE29" s="2"/>
      <c r="AF29" s="37"/>
      <c r="AG29" s="37"/>
      <c r="AH29" s="45">
        <f t="shared" si="0"/>
        <v>16</v>
      </c>
      <c r="AI29" s="57" t="s">
        <v>189</v>
      </c>
    </row>
    <row r="30" spans="1:35" s="32" customFormat="1" ht="28.5" customHeight="1" x14ac:dyDescent="0.25">
      <c r="A30" s="101"/>
      <c r="B30" s="35" t="s">
        <v>27</v>
      </c>
      <c r="C30" s="38" t="s">
        <v>26</v>
      </c>
      <c r="D30" s="36" t="s">
        <v>107</v>
      </c>
      <c r="E30" s="2" t="s">
        <v>116</v>
      </c>
      <c r="F30" s="2"/>
      <c r="G30" s="2"/>
      <c r="H30" s="2"/>
      <c r="I30" s="2">
        <v>1</v>
      </c>
      <c r="J30" s="2"/>
      <c r="K30" s="37"/>
      <c r="L30" s="37"/>
      <c r="M30" s="2"/>
      <c r="N30" s="2"/>
      <c r="O30" s="2"/>
      <c r="P30" s="2">
        <v>1</v>
      </c>
      <c r="Q30" s="2"/>
      <c r="R30" s="37"/>
      <c r="S30" s="37"/>
      <c r="T30" s="2"/>
      <c r="U30" s="2"/>
      <c r="V30" s="2"/>
      <c r="W30" s="2">
        <v>1</v>
      </c>
      <c r="X30" s="2"/>
      <c r="Y30" s="37"/>
      <c r="Z30" s="37"/>
      <c r="AA30" s="2"/>
      <c r="AB30" s="2"/>
      <c r="AC30" s="2"/>
      <c r="AD30" s="2">
        <v>1</v>
      </c>
      <c r="AE30" s="2"/>
      <c r="AF30" s="37"/>
      <c r="AG30" s="37"/>
      <c r="AH30" s="45">
        <f t="shared" si="0"/>
        <v>4</v>
      </c>
      <c r="AI30" s="58"/>
    </row>
    <row r="31" spans="1:35" s="32" customFormat="1" ht="24.75" customHeight="1" x14ac:dyDescent="0.25">
      <c r="A31" s="99" t="s">
        <v>120</v>
      </c>
      <c r="B31" s="38" t="s">
        <v>34</v>
      </c>
      <c r="C31" s="38" t="s">
        <v>124</v>
      </c>
      <c r="D31" s="36">
        <v>2.1</v>
      </c>
      <c r="E31" s="2" t="s">
        <v>15</v>
      </c>
      <c r="F31" s="2">
        <v>4</v>
      </c>
      <c r="G31" s="2"/>
      <c r="H31" s="2"/>
      <c r="I31" s="2"/>
      <c r="J31" s="2"/>
      <c r="K31" s="37"/>
      <c r="L31" s="37"/>
      <c r="M31" s="2">
        <v>4</v>
      </c>
      <c r="N31" s="2"/>
      <c r="O31" s="2"/>
      <c r="P31" s="2"/>
      <c r="Q31" s="2"/>
      <c r="R31" s="37"/>
      <c r="S31" s="37"/>
      <c r="T31" s="2">
        <v>5</v>
      </c>
      <c r="U31" s="2"/>
      <c r="V31" s="2"/>
      <c r="W31" s="2"/>
      <c r="X31" s="2"/>
      <c r="Y31" s="37"/>
      <c r="Z31" s="37"/>
      <c r="AA31" s="2">
        <v>5</v>
      </c>
      <c r="AB31" s="2"/>
      <c r="AC31" s="2"/>
      <c r="AD31" s="2"/>
      <c r="AE31" s="2"/>
      <c r="AF31" s="37"/>
      <c r="AG31" s="37"/>
      <c r="AH31" s="45">
        <f t="shared" si="0"/>
        <v>18</v>
      </c>
      <c r="AI31" s="58" t="s">
        <v>197</v>
      </c>
    </row>
    <row r="32" spans="1:35" s="32" customFormat="1" ht="24.75" customHeight="1" x14ac:dyDescent="0.25">
      <c r="A32" s="100"/>
      <c r="B32" s="38" t="s">
        <v>171</v>
      </c>
      <c r="C32" s="38" t="s">
        <v>95</v>
      </c>
      <c r="D32" s="36" t="s">
        <v>107</v>
      </c>
      <c r="E32" s="2" t="s">
        <v>15</v>
      </c>
      <c r="F32" s="2"/>
      <c r="G32" s="2"/>
      <c r="H32" s="2">
        <v>4</v>
      </c>
      <c r="I32" s="2"/>
      <c r="J32" s="2"/>
      <c r="K32" s="37"/>
      <c r="L32" s="37"/>
      <c r="M32" s="2"/>
      <c r="N32" s="2"/>
      <c r="O32" s="2">
        <v>4</v>
      </c>
      <c r="P32" s="2"/>
      <c r="Q32" s="2"/>
      <c r="R32" s="37"/>
      <c r="S32" s="37"/>
      <c r="T32" s="2"/>
      <c r="U32" s="2"/>
      <c r="V32" s="2">
        <v>4</v>
      </c>
      <c r="W32" s="2"/>
      <c r="X32" s="2"/>
      <c r="Y32" s="37"/>
      <c r="Z32" s="37"/>
      <c r="AA32" s="2"/>
      <c r="AB32" s="2"/>
      <c r="AC32" s="2">
        <v>4</v>
      </c>
      <c r="AD32" s="2"/>
      <c r="AE32" s="2"/>
      <c r="AF32" s="37"/>
      <c r="AG32" s="37"/>
      <c r="AH32" s="45">
        <f t="shared" si="0"/>
        <v>16</v>
      </c>
      <c r="AI32" s="58" t="str">
        <f>AI27</f>
        <v>16/45</v>
      </c>
    </row>
    <row r="33" spans="1:42" s="32" customFormat="1" ht="24.75" customHeight="1" x14ac:dyDescent="0.25">
      <c r="A33" s="100"/>
      <c r="B33" s="38" t="s">
        <v>25</v>
      </c>
      <c r="C33" s="38" t="s">
        <v>86</v>
      </c>
      <c r="D33" s="36" t="s">
        <v>115</v>
      </c>
      <c r="E33" s="2" t="s">
        <v>15</v>
      </c>
      <c r="F33" s="2"/>
      <c r="G33" s="2"/>
      <c r="H33" s="2"/>
      <c r="I33" s="2">
        <v>5</v>
      </c>
      <c r="J33" s="2"/>
      <c r="K33" s="37"/>
      <c r="L33" s="37"/>
      <c r="M33" s="2"/>
      <c r="N33" s="2"/>
      <c r="O33" s="2"/>
      <c r="P33" s="2">
        <v>5</v>
      </c>
      <c r="Q33" s="2"/>
      <c r="R33" s="37"/>
      <c r="S33" s="37"/>
      <c r="T33" s="2"/>
      <c r="U33" s="2"/>
      <c r="V33" s="2"/>
      <c r="W33" s="2">
        <v>5</v>
      </c>
      <c r="X33" s="2"/>
      <c r="Y33" s="37"/>
      <c r="Z33" s="37"/>
      <c r="AA33" s="2"/>
      <c r="AB33" s="2"/>
      <c r="AC33" s="2"/>
      <c r="AD33" s="2"/>
      <c r="AE33" s="2"/>
      <c r="AF33" s="37"/>
      <c r="AG33" s="37"/>
      <c r="AH33" s="45">
        <f t="shared" si="0"/>
        <v>15</v>
      </c>
      <c r="AI33" s="58" t="s">
        <v>174</v>
      </c>
    </row>
    <row r="34" spans="1:42" s="32" customFormat="1" ht="30.75" customHeight="1" x14ac:dyDescent="0.25">
      <c r="A34" s="100"/>
      <c r="B34" s="40" t="s">
        <v>166</v>
      </c>
      <c r="C34" s="38" t="s">
        <v>167</v>
      </c>
      <c r="D34" s="36" t="s">
        <v>115</v>
      </c>
      <c r="E34" s="2" t="s">
        <v>15</v>
      </c>
      <c r="F34" s="2"/>
      <c r="G34" s="2"/>
      <c r="H34" s="2"/>
      <c r="I34" s="2"/>
      <c r="J34" s="2"/>
      <c r="K34" s="37"/>
      <c r="L34" s="37"/>
      <c r="M34" s="2"/>
      <c r="N34" s="2"/>
      <c r="O34" s="2"/>
      <c r="P34" s="2"/>
      <c r="Q34" s="2"/>
      <c r="R34" s="37"/>
      <c r="S34" s="37"/>
      <c r="T34" s="2"/>
      <c r="U34" s="2"/>
      <c r="V34" s="2"/>
      <c r="W34" s="2"/>
      <c r="X34" s="2"/>
      <c r="Y34" s="37"/>
      <c r="Z34" s="37"/>
      <c r="AA34" s="2"/>
      <c r="AB34" s="2">
        <v>4</v>
      </c>
      <c r="AC34" s="2"/>
      <c r="AD34" s="2">
        <v>4</v>
      </c>
      <c r="AE34" s="2"/>
      <c r="AF34" s="37"/>
      <c r="AG34" s="37"/>
      <c r="AH34" s="45">
        <v>4</v>
      </c>
      <c r="AI34" s="57" t="s">
        <v>201</v>
      </c>
    </row>
    <row r="35" spans="1:42" s="32" customFormat="1" ht="24.75" customHeight="1" x14ac:dyDescent="0.25">
      <c r="A35" s="101"/>
      <c r="B35" s="35" t="s">
        <v>27</v>
      </c>
      <c r="C35" s="34" t="s">
        <v>26</v>
      </c>
      <c r="D35" s="36" t="s">
        <v>107</v>
      </c>
      <c r="E35" s="2" t="s">
        <v>116</v>
      </c>
      <c r="F35" s="2">
        <v>1</v>
      </c>
      <c r="G35" s="2"/>
      <c r="H35" s="2"/>
      <c r="I35" s="2"/>
      <c r="J35" s="2"/>
      <c r="K35" s="37"/>
      <c r="L35" s="37"/>
      <c r="M35" s="2">
        <v>1</v>
      </c>
      <c r="N35" s="2"/>
      <c r="O35" s="2"/>
      <c r="P35" s="2"/>
      <c r="Q35" s="2"/>
      <c r="R35" s="37"/>
      <c r="S35" s="37"/>
      <c r="T35" s="2"/>
      <c r="U35" s="2">
        <v>1</v>
      </c>
      <c r="V35" s="2"/>
      <c r="W35" s="2"/>
      <c r="X35" s="2"/>
      <c r="Y35" s="37"/>
      <c r="Z35" s="37"/>
      <c r="AA35" s="2"/>
      <c r="AB35" s="2">
        <v>1</v>
      </c>
      <c r="AC35" s="2"/>
      <c r="AD35" s="2"/>
      <c r="AE35" s="2"/>
      <c r="AF35" s="37"/>
      <c r="AG35" s="37"/>
      <c r="AH35" s="45">
        <f t="shared" si="0"/>
        <v>4</v>
      </c>
      <c r="AI35" s="58"/>
    </row>
    <row r="36" spans="1:42" s="32" customFormat="1" ht="24.75" customHeight="1" x14ac:dyDescent="0.25">
      <c r="A36" s="99" t="s">
        <v>121</v>
      </c>
      <c r="B36" s="38" t="s">
        <v>34</v>
      </c>
      <c r="C36" s="38" t="s">
        <v>124</v>
      </c>
      <c r="D36" s="36">
        <v>2.1</v>
      </c>
      <c r="E36" s="2" t="s">
        <v>15</v>
      </c>
      <c r="F36" s="2">
        <v>4</v>
      </c>
      <c r="G36" s="2"/>
      <c r="H36" s="2"/>
      <c r="I36" s="2"/>
      <c r="J36" s="2"/>
      <c r="K36" s="37"/>
      <c r="L36" s="37"/>
      <c r="M36" s="2">
        <v>4</v>
      </c>
      <c r="N36" s="2"/>
      <c r="O36" s="2"/>
      <c r="P36" s="2"/>
      <c r="Q36" s="2"/>
      <c r="R36" s="37"/>
      <c r="S36" s="37"/>
      <c r="T36" s="2">
        <v>5</v>
      </c>
      <c r="U36" s="2"/>
      <c r="V36" s="2"/>
      <c r="W36" s="2"/>
      <c r="X36" s="2"/>
      <c r="Y36" s="37"/>
      <c r="Z36" s="37"/>
      <c r="AA36" s="2">
        <v>5</v>
      </c>
      <c r="AB36" s="2"/>
      <c r="AC36" s="2"/>
      <c r="AD36" s="2"/>
      <c r="AE36" s="2"/>
      <c r="AF36" s="37"/>
      <c r="AG36" s="37"/>
      <c r="AH36" s="45">
        <f t="shared" si="0"/>
        <v>18</v>
      </c>
      <c r="AI36" s="58" t="str">
        <f>AI31</f>
        <v>50/90</v>
      </c>
    </row>
    <row r="37" spans="1:42" s="32" customFormat="1" ht="30.75" customHeight="1" x14ac:dyDescent="0.25">
      <c r="A37" s="100"/>
      <c r="B37" s="40" t="s">
        <v>153</v>
      </c>
      <c r="C37" s="38" t="s">
        <v>94</v>
      </c>
      <c r="D37" s="36" t="s">
        <v>107</v>
      </c>
      <c r="E37" s="2" t="s">
        <v>15</v>
      </c>
      <c r="F37" s="2"/>
      <c r="G37" s="2">
        <v>4</v>
      </c>
      <c r="H37" s="2"/>
      <c r="I37" s="2"/>
      <c r="J37" s="2"/>
      <c r="K37" s="37"/>
      <c r="L37" s="37"/>
      <c r="M37" s="2"/>
      <c r="N37" s="2">
        <v>4</v>
      </c>
      <c r="O37" s="2"/>
      <c r="P37" s="2"/>
      <c r="Q37" s="2"/>
      <c r="R37" s="37"/>
      <c r="S37" s="37"/>
      <c r="T37" s="2"/>
      <c r="U37" s="2">
        <v>5</v>
      </c>
      <c r="V37" s="2"/>
      <c r="W37" s="2"/>
      <c r="X37" s="2"/>
      <c r="Y37" s="37"/>
      <c r="Z37" s="37"/>
      <c r="AA37" s="2"/>
      <c r="AB37" s="2"/>
      <c r="AC37" s="2"/>
      <c r="AD37" s="2"/>
      <c r="AE37" s="2"/>
      <c r="AF37" s="37"/>
      <c r="AG37" s="37"/>
      <c r="AH37" s="45">
        <f t="shared" si="0"/>
        <v>13</v>
      </c>
      <c r="AI37" s="58" t="s">
        <v>108</v>
      </c>
    </row>
    <row r="38" spans="1:42" s="32" customFormat="1" ht="24.75" customHeight="1" x14ac:dyDescent="0.25">
      <c r="A38" s="100"/>
      <c r="B38" s="38" t="s">
        <v>171</v>
      </c>
      <c r="C38" s="38" t="s">
        <v>95</v>
      </c>
      <c r="D38" s="36" t="s">
        <v>107</v>
      </c>
      <c r="E38" s="2" t="s">
        <v>15</v>
      </c>
      <c r="F38" s="2"/>
      <c r="G38" s="2"/>
      <c r="H38" s="2">
        <v>4</v>
      </c>
      <c r="I38" s="2"/>
      <c r="J38" s="2"/>
      <c r="K38" s="37"/>
      <c r="L38" s="37"/>
      <c r="M38" s="2"/>
      <c r="N38" s="2"/>
      <c r="O38" s="2">
        <v>4</v>
      </c>
      <c r="P38" s="2"/>
      <c r="Q38" s="2"/>
      <c r="R38" s="37"/>
      <c r="S38" s="37"/>
      <c r="T38" s="2"/>
      <c r="U38" s="2"/>
      <c r="V38" s="2">
        <v>4</v>
      </c>
      <c r="W38" s="2"/>
      <c r="X38" s="2"/>
      <c r="Y38" s="37"/>
      <c r="Z38" s="37"/>
      <c r="AA38" s="2"/>
      <c r="AB38" s="2"/>
      <c r="AC38" s="2">
        <v>4</v>
      </c>
      <c r="AD38" s="2"/>
      <c r="AE38" s="2"/>
      <c r="AF38" s="37"/>
      <c r="AG38" s="37"/>
      <c r="AH38" s="45">
        <f t="shared" si="0"/>
        <v>16</v>
      </c>
      <c r="AI38" s="58" t="str">
        <f>AI32</f>
        <v>16/45</v>
      </c>
    </row>
    <row r="39" spans="1:42" s="32" customFormat="1" ht="24.75" customHeight="1" x14ac:dyDescent="0.25">
      <c r="A39" s="100"/>
      <c r="B39" s="38" t="s">
        <v>25</v>
      </c>
      <c r="C39" s="38" t="s">
        <v>86</v>
      </c>
      <c r="D39" s="36" t="s">
        <v>115</v>
      </c>
      <c r="E39" s="2" t="s">
        <v>15</v>
      </c>
      <c r="F39" s="2"/>
      <c r="G39" s="2"/>
      <c r="H39" s="2"/>
      <c r="I39" s="2">
        <v>5</v>
      </c>
      <c r="J39" s="2"/>
      <c r="K39" s="37"/>
      <c r="L39" s="37"/>
      <c r="M39" s="2"/>
      <c r="N39" s="2"/>
      <c r="O39" s="2"/>
      <c r="P39" s="2">
        <v>5</v>
      </c>
      <c r="Q39" s="2"/>
      <c r="R39" s="37"/>
      <c r="S39" s="37"/>
      <c r="T39" s="2"/>
      <c r="U39" s="2"/>
      <c r="V39" s="2"/>
      <c r="W39" s="2">
        <v>5</v>
      </c>
      <c r="X39" s="2"/>
      <c r="Y39" s="37"/>
      <c r="Z39" s="37"/>
      <c r="AA39" s="2"/>
      <c r="AB39" s="2"/>
      <c r="AC39" s="2"/>
      <c r="AD39" s="2"/>
      <c r="AE39" s="2"/>
      <c r="AF39" s="37"/>
      <c r="AG39" s="37"/>
      <c r="AH39" s="45">
        <f t="shared" si="0"/>
        <v>15</v>
      </c>
      <c r="AI39" s="58" t="str">
        <f>AI33</f>
        <v>30/30</v>
      </c>
    </row>
    <row r="40" spans="1:42" s="32" customFormat="1" ht="30.75" customHeight="1" x14ac:dyDescent="0.25">
      <c r="A40" s="100"/>
      <c r="B40" s="40" t="s">
        <v>166</v>
      </c>
      <c r="C40" s="38" t="s">
        <v>167</v>
      </c>
      <c r="D40" s="36" t="s">
        <v>115</v>
      </c>
      <c r="E40" s="2" t="s">
        <v>15</v>
      </c>
      <c r="F40" s="2"/>
      <c r="G40" s="2"/>
      <c r="H40" s="2"/>
      <c r="I40" s="2"/>
      <c r="J40" s="2"/>
      <c r="K40" s="37"/>
      <c r="L40" s="37"/>
      <c r="M40" s="2"/>
      <c r="N40" s="2"/>
      <c r="O40" s="2"/>
      <c r="P40" s="2"/>
      <c r="Q40" s="2"/>
      <c r="R40" s="37"/>
      <c r="S40" s="37"/>
      <c r="T40" s="2"/>
      <c r="U40" s="2"/>
      <c r="V40" s="2"/>
      <c r="W40" s="2"/>
      <c r="X40" s="2"/>
      <c r="Y40" s="37"/>
      <c r="Z40" s="37"/>
      <c r="AA40" s="2"/>
      <c r="AB40" s="2">
        <v>4</v>
      </c>
      <c r="AC40" s="2"/>
      <c r="AD40" s="2">
        <v>4</v>
      </c>
      <c r="AE40" s="2"/>
      <c r="AF40" s="37"/>
      <c r="AG40" s="37"/>
      <c r="AH40" s="45">
        <f t="shared" si="0"/>
        <v>8</v>
      </c>
      <c r="AI40" s="57" t="str">
        <f>AI34</f>
        <v>04/36</v>
      </c>
    </row>
    <row r="41" spans="1:42" s="32" customFormat="1" ht="24.75" customHeight="1" x14ac:dyDescent="0.25">
      <c r="A41" s="101"/>
      <c r="B41" s="35" t="s">
        <v>27</v>
      </c>
      <c r="C41" s="34" t="s">
        <v>94</v>
      </c>
      <c r="D41" s="36" t="s">
        <v>107</v>
      </c>
      <c r="E41" s="2" t="s">
        <v>116</v>
      </c>
      <c r="F41" s="2">
        <v>1</v>
      </c>
      <c r="G41" s="2"/>
      <c r="H41" s="2"/>
      <c r="I41" s="2"/>
      <c r="J41" s="2"/>
      <c r="K41" s="37"/>
      <c r="L41" s="37"/>
      <c r="M41" s="2">
        <v>1</v>
      </c>
      <c r="N41" s="2"/>
      <c r="O41" s="2"/>
      <c r="P41" s="2"/>
      <c r="Q41" s="2"/>
      <c r="R41" s="37"/>
      <c r="S41" s="37"/>
      <c r="T41" s="2"/>
      <c r="U41" s="2">
        <v>1</v>
      </c>
      <c r="V41" s="2"/>
      <c r="W41" s="2"/>
      <c r="X41" s="2"/>
      <c r="Y41" s="37"/>
      <c r="Z41" s="37"/>
      <c r="AA41" s="2"/>
      <c r="AB41" s="2">
        <v>1</v>
      </c>
      <c r="AC41" s="2"/>
      <c r="AD41" s="2"/>
      <c r="AE41" s="2"/>
      <c r="AF41" s="37"/>
      <c r="AG41" s="37"/>
      <c r="AH41" s="45">
        <f t="shared" si="0"/>
        <v>4</v>
      </c>
      <c r="AI41" s="58"/>
    </row>
    <row r="42" spans="1:42" s="32" customFormat="1" ht="34.5" customHeight="1" x14ac:dyDescent="0.25">
      <c r="A42" s="99" t="s">
        <v>104</v>
      </c>
      <c r="B42" s="38" t="s">
        <v>30</v>
      </c>
      <c r="C42" s="111" t="s">
        <v>26</v>
      </c>
      <c r="D42" s="99" t="s">
        <v>100</v>
      </c>
      <c r="E42" s="2" t="s">
        <v>204</v>
      </c>
      <c r="F42" s="2"/>
      <c r="G42" s="2"/>
      <c r="H42" s="2">
        <v>5</v>
      </c>
      <c r="I42" s="2">
        <v>5</v>
      </c>
      <c r="J42" s="2"/>
      <c r="K42" s="37"/>
      <c r="L42" s="37"/>
      <c r="M42" s="2"/>
      <c r="N42" s="2"/>
      <c r="O42" s="2">
        <v>5</v>
      </c>
      <c r="P42" s="2">
        <v>5</v>
      </c>
      <c r="Q42" s="2"/>
      <c r="R42" s="37"/>
      <c r="S42" s="37"/>
      <c r="T42" s="2"/>
      <c r="U42" s="2"/>
      <c r="V42" s="2"/>
      <c r="W42" s="2"/>
      <c r="X42" s="2"/>
      <c r="Y42" s="37"/>
      <c r="Z42" s="37"/>
      <c r="AA42" s="2"/>
      <c r="AB42" s="2"/>
      <c r="AC42" s="2"/>
      <c r="AD42" s="2"/>
      <c r="AE42" s="2"/>
      <c r="AF42" s="37"/>
      <c r="AG42" s="37"/>
      <c r="AH42" s="45">
        <f>SUM(F42:AG42)</f>
        <v>20</v>
      </c>
      <c r="AI42" s="58" t="s">
        <v>199</v>
      </c>
      <c r="AJ42" s="32" t="s">
        <v>232</v>
      </c>
    </row>
    <row r="43" spans="1:42" s="32" customFormat="1" ht="45.75" customHeight="1" x14ac:dyDescent="0.25">
      <c r="A43" s="101"/>
      <c r="B43" s="40" t="s">
        <v>233</v>
      </c>
      <c r="C43" s="112"/>
      <c r="D43" s="100"/>
      <c r="E43" s="2" t="s">
        <v>204</v>
      </c>
      <c r="F43" s="2"/>
      <c r="G43" s="2"/>
      <c r="H43" s="2"/>
      <c r="I43" s="2"/>
      <c r="J43" s="2"/>
      <c r="K43" s="37"/>
      <c r="L43" s="37"/>
      <c r="M43" s="2"/>
      <c r="N43" s="2"/>
      <c r="O43" s="2"/>
      <c r="P43" s="2"/>
      <c r="Q43" s="2"/>
      <c r="R43" s="37"/>
      <c r="S43" s="37"/>
      <c r="T43" s="2"/>
      <c r="U43" s="2"/>
      <c r="V43" s="2">
        <v>5</v>
      </c>
      <c r="W43" s="2">
        <v>5</v>
      </c>
      <c r="X43" s="2"/>
      <c r="Y43" s="37"/>
      <c r="Z43" s="37"/>
      <c r="AA43" s="2"/>
      <c r="AB43" s="2"/>
      <c r="AC43" s="2">
        <v>5</v>
      </c>
      <c r="AD43" s="2">
        <v>5</v>
      </c>
      <c r="AE43" s="2"/>
      <c r="AF43" s="37"/>
      <c r="AG43" s="37"/>
      <c r="AH43" s="45">
        <f>SUM(F43:AG43)</f>
        <v>20</v>
      </c>
      <c r="AI43" s="58" t="s">
        <v>234</v>
      </c>
    </row>
    <row r="44" spans="1:42" s="32" customFormat="1" ht="54" customHeight="1" x14ac:dyDescent="0.25">
      <c r="A44" s="99" t="s">
        <v>223</v>
      </c>
      <c r="B44" s="36" t="s">
        <v>153</v>
      </c>
      <c r="C44" s="36" t="s">
        <v>31</v>
      </c>
      <c r="D44" s="100"/>
      <c r="E44" s="2" t="s">
        <v>203</v>
      </c>
      <c r="F44" s="2"/>
      <c r="G44" s="2"/>
      <c r="H44" s="2">
        <v>5</v>
      </c>
      <c r="I44" s="2">
        <v>5</v>
      </c>
      <c r="J44" s="2"/>
      <c r="K44" s="37"/>
      <c r="L44" s="37"/>
      <c r="M44" s="2"/>
      <c r="N44" s="2"/>
      <c r="O44" s="2">
        <v>5</v>
      </c>
      <c r="P44" s="2">
        <v>5</v>
      </c>
      <c r="Q44" s="2"/>
      <c r="R44" s="37"/>
      <c r="S44" s="37"/>
      <c r="T44" s="2"/>
      <c r="U44" s="2"/>
      <c r="V44" s="2"/>
      <c r="W44" s="2"/>
      <c r="X44" s="2"/>
      <c r="Y44" s="37"/>
      <c r="Z44" s="37"/>
      <c r="AA44" s="2"/>
      <c r="AB44" s="2"/>
      <c r="AC44" s="2"/>
      <c r="AD44" s="2"/>
      <c r="AE44" s="2"/>
      <c r="AF44" s="37"/>
      <c r="AG44" s="37"/>
      <c r="AH44" s="68">
        <f>SUM(F44:AF44)</f>
        <v>20</v>
      </c>
      <c r="AI44" s="2" t="s">
        <v>108</v>
      </c>
      <c r="AJ44" s="64"/>
      <c r="AK44" s="64"/>
      <c r="AL44" s="64"/>
      <c r="AM44" s="64"/>
      <c r="AN44" s="64"/>
      <c r="AO44" s="70"/>
      <c r="AP44" s="71"/>
    </row>
    <row r="45" spans="1:42" s="32" customFormat="1" ht="37.5" customHeight="1" x14ac:dyDescent="0.25">
      <c r="A45" s="101"/>
      <c r="B45" s="88" t="s">
        <v>249</v>
      </c>
      <c r="C45" s="36" t="s">
        <v>31</v>
      </c>
      <c r="D45" s="101"/>
      <c r="E45" s="2" t="s">
        <v>203</v>
      </c>
      <c r="F45" s="2"/>
      <c r="G45" s="2"/>
      <c r="H45" s="2"/>
      <c r="I45" s="2"/>
      <c r="J45" s="2"/>
      <c r="K45" s="37"/>
      <c r="L45" s="37"/>
      <c r="M45" s="2"/>
      <c r="N45" s="2"/>
      <c r="O45" s="2"/>
      <c r="P45" s="2"/>
      <c r="Q45" s="2"/>
      <c r="R45" s="37"/>
      <c r="S45" s="37"/>
      <c r="T45" s="2"/>
      <c r="U45" s="2"/>
      <c r="V45" s="2">
        <v>5</v>
      </c>
      <c r="W45" s="2">
        <v>5</v>
      </c>
      <c r="X45" s="2"/>
      <c r="Y45" s="37"/>
      <c r="Z45" s="37"/>
      <c r="AA45" s="2"/>
      <c r="AB45" s="2"/>
      <c r="AC45" s="2">
        <v>5</v>
      </c>
      <c r="AD45" s="2">
        <v>5</v>
      </c>
      <c r="AE45" s="2"/>
      <c r="AF45" s="37"/>
      <c r="AG45" s="37"/>
      <c r="AH45" s="68">
        <f>SUM(F45:AF45)</f>
        <v>20</v>
      </c>
      <c r="AI45" s="78" t="s">
        <v>253</v>
      </c>
      <c r="AJ45" s="64"/>
      <c r="AK45" s="64"/>
      <c r="AL45" s="64"/>
      <c r="AM45" s="64"/>
      <c r="AN45" s="64"/>
      <c r="AO45" s="70"/>
      <c r="AP45" s="71"/>
    </row>
    <row r="46" spans="1:42" s="32" customFormat="1" ht="21" customHeight="1" x14ac:dyDescent="0.25">
      <c r="A46" s="99" t="s">
        <v>111</v>
      </c>
      <c r="B46" s="123" t="s">
        <v>30</v>
      </c>
      <c r="C46" s="124" t="s">
        <v>95</v>
      </c>
      <c r="D46" s="99" t="s">
        <v>105</v>
      </c>
      <c r="E46" s="2" t="s">
        <v>17</v>
      </c>
      <c r="F46" s="2"/>
      <c r="G46" s="2"/>
      <c r="H46" s="2"/>
      <c r="I46" s="2"/>
      <c r="J46" s="2">
        <v>4</v>
      </c>
      <c r="K46" s="37"/>
      <c r="L46" s="37"/>
      <c r="M46" s="2"/>
      <c r="N46" s="2"/>
      <c r="O46" s="2"/>
      <c r="P46" s="2"/>
      <c r="Q46" s="2"/>
      <c r="R46" s="37"/>
      <c r="S46" s="37"/>
      <c r="T46" s="2"/>
      <c r="U46" s="2"/>
      <c r="V46" s="2"/>
      <c r="W46" s="2"/>
      <c r="X46" s="2"/>
      <c r="Y46" s="37"/>
      <c r="Z46" s="37"/>
      <c r="AA46" s="2"/>
      <c r="AB46" s="2"/>
      <c r="AC46" s="2"/>
      <c r="AD46" s="2"/>
      <c r="AE46" s="2"/>
      <c r="AF46" s="37"/>
      <c r="AG46" s="37"/>
      <c r="AH46" s="125">
        <f>SUM(F46:AG47)</f>
        <v>12</v>
      </c>
      <c r="AI46" s="122" t="s">
        <v>199</v>
      </c>
    </row>
    <row r="47" spans="1:42" s="32" customFormat="1" ht="23.25" customHeight="1" x14ac:dyDescent="0.25">
      <c r="A47" s="100"/>
      <c r="B47" s="123"/>
      <c r="C47" s="124"/>
      <c r="D47" s="100"/>
      <c r="E47" s="2" t="s">
        <v>16</v>
      </c>
      <c r="F47" s="2"/>
      <c r="G47" s="2"/>
      <c r="H47" s="2"/>
      <c r="I47" s="2">
        <v>4</v>
      </c>
      <c r="J47" s="2">
        <v>4</v>
      </c>
      <c r="K47" s="37"/>
      <c r="L47" s="37"/>
      <c r="M47" s="2"/>
      <c r="N47" s="2"/>
      <c r="O47" s="2"/>
      <c r="P47" s="2"/>
      <c r="Q47" s="2"/>
      <c r="R47" s="37"/>
      <c r="S47" s="37"/>
      <c r="T47" s="2"/>
      <c r="U47" s="2"/>
      <c r="V47" s="2"/>
      <c r="W47" s="2"/>
      <c r="X47" s="2"/>
      <c r="Y47" s="37"/>
      <c r="Z47" s="37"/>
      <c r="AA47" s="2"/>
      <c r="AB47" s="2"/>
      <c r="AC47" s="2"/>
      <c r="AD47" s="2"/>
      <c r="AE47" s="2"/>
      <c r="AF47" s="37"/>
      <c r="AG47" s="37"/>
      <c r="AH47" s="125"/>
      <c r="AI47" s="122"/>
    </row>
    <row r="48" spans="1:42" s="32" customFormat="1" ht="23.25" customHeight="1" x14ac:dyDescent="0.25">
      <c r="A48" s="100"/>
      <c r="B48" s="99" t="s">
        <v>233</v>
      </c>
      <c r="C48" s="124" t="s">
        <v>95</v>
      </c>
      <c r="D48" s="100"/>
      <c r="E48" s="2" t="s">
        <v>17</v>
      </c>
      <c r="F48" s="2"/>
      <c r="G48" s="2"/>
      <c r="H48" s="2"/>
      <c r="I48" s="2"/>
      <c r="J48" s="2"/>
      <c r="K48" s="37"/>
      <c r="L48" s="37"/>
      <c r="M48" s="2"/>
      <c r="N48" s="2"/>
      <c r="O48" s="2"/>
      <c r="P48" s="2"/>
      <c r="Q48" s="2">
        <v>4</v>
      </c>
      <c r="R48" s="37"/>
      <c r="S48" s="37"/>
      <c r="T48" s="2"/>
      <c r="U48" s="2"/>
      <c r="V48" s="2"/>
      <c r="W48" s="2"/>
      <c r="X48" s="2">
        <v>4</v>
      </c>
      <c r="Y48" s="37"/>
      <c r="Z48" s="37"/>
      <c r="AA48" s="2"/>
      <c r="AB48" s="2"/>
      <c r="AC48" s="2"/>
      <c r="AD48" s="2"/>
      <c r="AE48" s="2">
        <v>4</v>
      </c>
      <c r="AF48" s="37"/>
      <c r="AG48" s="37"/>
      <c r="AH48" s="125">
        <f>SUM(F48:AG49)</f>
        <v>36</v>
      </c>
      <c r="AI48" s="115" t="s">
        <v>274</v>
      </c>
    </row>
    <row r="49" spans="1:42" s="32" customFormat="1" ht="23.25" customHeight="1" x14ac:dyDescent="0.25">
      <c r="A49" s="101"/>
      <c r="B49" s="101"/>
      <c r="C49" s="124"/>
      <c r="D49" s="100"/>
      <c r="E49" s="2" t="s">
        <v>16</v>
      </c>
      <c r="F49" s="2"/>
      <c r="G49" s="2"/>
      <c r="H49" s="2"/>
      <c r="I49" s="2"/>
      <c r="J49" s="2"/>
      <c r="K49" s="37"/>
      <c r="L49" s="37"/>
      <c r="M49" s="2"/>
      <c r="N49" s="2"/>
      <c r="O49" s="2"/>
      <c r="P49" s="2">
        <v>4</v>
      </c>
      <c r="Q49" s="2">
        <v>4</v>
      </c>
      <c r="R49" s="37"/>
      <c r="S49" s="37"/>
      <c r="T49" s="2"/>
      <c r="U49" s="2"/>
      <c r="V49" s="2"/>
      <c r="W49" s="2">
        <v>4</v>
      </c>
      <c r="X49" s="2">
        <v>4</v>
      </c>
      <c r="Y49" s="37"/>
      <c r="Z49" s="37"/>
      <c r="AA49" s="2"/>
      <c r="AB49" s="2"/>
      <c r="AC49" s="2"/>
      <c r="AD49" s="2">
        <v>4</v>
      </c>
      <c r="AE49" s="2">
        <v>4</v>
      </c>
      <c r="AF49" s="37"/>
      <c r="AG49" s="37"/>
      <c r="AH49" s="125"/>
      <c r="AI49" s="116"/>
    </row>
    <row r="50" spans="1:42" s="32" customFormat="1" ht="26.25" customHeight="1" x14ac:dyDescent="0.25">
      <c r="A50" s="99" t="s">
        <v>181</v>
      </c>
      <c r="B50" s="131" t="s">
        <v>151</v>
      </c>
      <c r="C50" s="118" t="s">
        <v>94</v>
      </c>
      <c r="D50" s="100"/>
      <c r="E50" s="2" t="s">
        <v>17</v>
      </c>
      <c r="F50" s="2"/>
      <c r="G50" s="2"/>
      <c r="H50" s="2"/>
      <c r="I50" s="2"/>
      <c r="J50" s="2">
        <v>4</v>
      </c>
      <c r="K50" s="37"/>
      <c r="L50" s="37"/>
      <c r="M50" s="2"/>
      <c r="N50" s="2"/>
      <c r="O50" s="2"/>
      <c r="P50" s="2"/>
      <c r="Q50" s="2">
        <v>4</v>
      </c>
      <c r="R50" s="37"/>
      <c r="S50" s="37"/>
      <c r="T50" s="2"/>
      <c r="U50" s="2"/>
      <c r="V50" s="2"/>
      <c r="W50" s="2"/>
      <c r="X50" s="2"/>
      <c r="Y50" s="37"/>
      <c r="Z50" s="37"/>
      <c r="AA50" s="2"/>
      <c r="AB50" s="2"/>
      <c r="AC50" s="2"/>
      <c r="AD50" s="2"/>
      <c r="AE50" s="2"/>
      <c r="AF50" s="37"/>
      <c r="AG50" s="37"/>
      <c r="AH50" s="113">
        <f>SUM(F50:AF51)</f>
        <v>24</v>
      </c>
      <c r="AI50" s="115" t="s">
        <v>159</v>
      </c>
    </row>
    <row r="51" spans="1:42" s="32" customFormat="1" ht="26.25" customHeight="1" x14ac:dyDescent="0.25">
      <c r="A51" s="100"/>
      <c r="B51" s="132"/>
      <c r="C51" s="118"/>
      <c r="D51" s="100"/>
      <c r="E51" s="2" t="s">
        <v>16</v>
      </c>
      <c r="F51" s="2"/>
      <c r="G51" s="2"/>
      <c r="H51" s="2"/>
      <c r="I51" s="2">
        <v>4</v>
      </c>
      <c r="J51" s="2">
        <v>4</v>
      </c>
      <c r="K51" s="37"/>
      <c r="L51" s="37"/>
      <c r="M51" s="2"/>
      <c r="N51" s="2"/>
      <c r="O51" s="2"/>
      <c r="P51" s="2">
        <v>4</v>
      </c>
      <c r="Q51" s="2">
        <v>4</v>
      </c>
      <c r="R51" s="37"/>
      <c r="S51" s="37"/>
      <c r="T51" s="2"/>
      <c r="U51" s="2"/>
      <c r="V51" s="2"/>
      <c r="W51" s="2"/>
      <c r="X51" s="2"/>
      <c r="Y51" s="37"/>
      <c r="Z51" s="37"/>
      <c r="AA51" s="2"/>
      <c r="AB51" s="2"/>
      <c r="AC51" s="2"/>
      <c r="AD51" s="2"/>
      <c r="AE51" s="2"/>
      <c r="AF51" s="37"/>
      <c r="AG51" s="37"/>
      <c r="AH51" s="114"/>
      <c r="AI51" s="116"/>
    </row>
    <row r="52" spans="1:42" s="32" customFormat="1" ht="26.25" customHeight="1" x14ac:dyDescent="0.25">
      <c r="A52" s="100"/>
      <c r="B52" s="131" t="s">
        <v>30</v>
      </c>
      <c r="C52" s="118" t="s">
        <v>94</v>
      </c>
      <c r="D52" s="100"/>
      <c r="E52" s="2" t="s">
        <v>17</v>
      </c>
      <c r="F52" s="2"/>
      <c r="G52" s="2"/>
      <c r="H52" s="2"/>
      <c r="I52" s="2"/>
      <c r="J52" s="2"/>
      <c r="K52" s="37"/>
      <c r="L52" s="37"/>
      <c r="M52" s="2"/>
      <c r="N52" s="2"/>
      <c r="O52" s="2"/>
      <c r="P52" s="2"/>
      <c r="Q52" s="2"/>
      <c r="R52" s="37"/>
      <c r="S52" s="37"/>
      <c r="T52" s="2"/>
      <c r="U52" s="2"/>
      <c r="V52" s="2"/>
      <c r="W52" s="2"/>
      <c r="X52" s="2">
        <v>4</v>
      </c>
      <c r="Y52" s="37"/>
      <c r="Z52" s="37"/>
      <c r="AA52" s="2"/>
      <c r="AB52" s="2"/>
      <c r="AC52" s="2"/>
      <c r="AD52" s="2"/>
      <c r="AE52" s="2">
        <v>4</v>
      </c>
      <c r="AF52" s="37"/>
      <c r="AG52" s="37"/>
      <c r="AH52" s="113">
        <f>SUM(F52:AF53)</f>
        <v>24</v>
      </c>
      <c r="AI52" s="115" t="s">
        <v>272</v>
      </c>
    </row>
    <row r="53" spans="1:42" s="32" customFormat="1" ht="26.25" customHeight="1" x14ac:dyDescent="0.25">
      <c r="A53" s="101"/>
      <c r="B53" s="132"/>
      <c r="C53" s="118"/>
      <c r="D53" s="101"/>
      <c r="E53" s="2" t="s">
        <v>16</v>
      </c>
      <c r="F53" s="2"/>
      <c r="G53" s="2"/>
      <c r="H53" s="2"/>
      <c r="I53" s="2"/>
      <c r="J53" s="2"/>
      <c r="K53" s="37"/>
      <c r="L53" s="37"/>
      <c r="M53" s="2"/>
      <c r="N53" s="2"/>
      <c r="O53" s="2"/>
      <c r="P53" s="2"/>
      <c r="Q53" s="2"/>
      <c r="R53" s="37"/>
      <c r="S53" s="37"/>
      <c r="T53" s="2"/>
      <c r="U53" s="2"/>
      <c r="V53" s="2"/>
      <c r="W53" s="2">
        <v>4</v>
      </c>
      <c r="X53" s="2">
        <v>4</v>
      </c>
      <c r="Y53" s="37"/>
      <c r="Z53" s="37"/>
      <c r="AA53" s="2"/>
      <c r="AB53" s="2"/>
      <c r="AC53" s="2"/>
      <c r="AD53" s="2">
        <v>4</v>
      </c>
      <c r="AE53" s="2">
        <v>4</v>
      </c>
      <c r="AF53" s="37"/>
      <c r="AG53" s="37"/>
      <c r="AH53" s="114"/>
      <c r="AI53" s="116"/>
    </row>
    <row r="54" spans="1:42" s="32" customFormat="1" ht="30" customHeight="1" x14ac:dyDescent="0.25">
      <c r="A54" s="143" t="s">
        <v>170</v>
      </c>
      <c r="B54" s="123" t="s">
        <v>171</v>
      </c>
      <c r="C54" s="118" t="s">
        <v>94</v>
      </c>
      <c r="D54" s="99" t="s">
        <v>173</v>
      </c>
      <c r="E54" s="2" t="s">
        <v>17</v>
      </c>
      <c r="F54" s="2"/>
      <c r="G54" s="2"/>
      <c r="H54" s="2"/>
      <c r="I54" s="2"/>
      <c r="J54" s="2"/>
      <c r="K54" s="37">
        <v>5</v>
      </c>
      <c r="L54" s="37"/>
      <c r="M54" s="2"/>
      <c r="N54" s="2"/>
      <c r="O54" s="2"/>
      <c r="P54" s="2"/>
      <c r="Q54" s="2"/>
      <c r="R54" s="37">
        <v>5</v>
      </c>
      <c r="S54" s="37"/>
      <c r="T54" s="2"/>
      <c r="U54" s="2"/>
      <c r="V54" s="2"/>
      <c r="W54" s="2"/>
      <c r="X54" s="2"/>
      <c r="Y54" s="37"/>
      <c r="Z54" s="37"/>
      <c r="AA54" s="2"/>
      <c r="AB54" s="2"/>
      <c r="AC54" s="2"/>
      <c r="AD54" s="2"/>
      <c r="AE54" s="2"/>
      <c r="AF54" s="37"/>
      <c r="AG54" s="37"/>
      <c r="AH54" s="125">
        <v>25</v>
      </c>
      <c r="AI54" s="111" t="s">
        <v>108</v>
      </c>
      <c r="AJ54" s="64"/>
      <c r="AK54" s="64"/>
      <c r="AL54" s="64"/>
      <c r="AM54" s="64"/>
      <c r="AN54" s="64"/>
      <c r="AO54" s="129">
        <v>15</v>
      </c>
      <c r="AP54" s="130" t="s">
        <v>144</v>
      </c>
    </row>
    <row r="55" spans="1:42" s="32" customFormat="1" ht="30" customHeight="1" x14ac:dyDescent="0.25">
      <c r="A55" s="144"/>
      <c r="B55" s="123"/>
      <c r="C55" s="118"/>
      <c r="D55" s="100"/>
      <c r="E55" s="2" t="s">
        <v>16</v>
      </c>
      <c r="F55" s="2"/>
      <c r="G55" s="2"/>
      <c r="H55" s="2"/>
      <c r="I55" s="2"/>
      <c r="J55" s="2"/>
      <c r="K55" s="37">
        <v>5</v>
      </c>
      <c r="L55" s="37"/>
      <c r="M55" s="2"/>
      <c r="N55" s="2"/>
      <c r="O55" s="2"/>
      <c r="P55" s="2"/>
      <c r="Q55" s="2"/>
      <c r="R55" s="37">
        <v>5</v>
      </c>
      <c r="S55" s="37"/>
      <c r="T55" s="2"/>
      <c r="U55" s="2"/>
      <c r="V55" s="2"/>
      <c r="W55" s="2"/>
      <c r="X55" s="2"/>
      <c r="Y55" s="37">
        <v>5</v>
      </c>
      <c r="Z55" s="37"/>
      <c r="AA55" s="2"/>
      <c r="AB55" s="2"/>
      <c r="AC55" s="2"/>
      <c r="AD55" s="2"/>
      <c r="AE55" s="2"/>
      <c r="AF55" s="37"/>
      <c r="AG55" s="37"/>
      <c r="AH55" s="125"/>
      <c r="AI55" s="112"/>
      <c r="AJ55" s="64"/>
      <c r="AK55" s="64"/>
      <c r="AL55" s="64"/>
      <c r="AM55" s="64"/>
      <c r="AN55" s="64"/>
      <c r="AO55" s="129"/>
      <c r="AP55" s="130"/>
    </row>
    <row r="56" spans="1:42" s="32" customFormat="1" ht="30" customHeight="1" x14ac:dyDescent="0.25">
      <c r="A56" s="144"/>
      <c r="B56" s="131" t="s">
        <v>151</v>
      </c>
      <c r="C56" s="118" t="s">
        <v>94</v>
      </c>
      <c r="D56" s="100"/>
      <c r="E56" s="2" t="s">
        <v>17</v>
      </c>
      <c r="F56" s="2"/>
      <c r="G56" s="2"/>
      <c r="H56" s="2"/>
      <c r="I56" s="2"/>
      <c r="J56" s="2"/>
      <c r="K56" s="37"/>
      <c r="L56" s="37"/>
      <c r="M56" s="2"/>
      <c r="N56" s="2"/>
      <c r="O56" s="2"/>
      <c r="P56" s="2"/>
      <c r="Q56" s="2"/>
      <c r="R56" s="37"/>
      <c r="S56" s="37"/>
      <c r="T56" s="2"/>
      <c r="U56" s="2"/>
      <c r="V56" s="2"/>
      <c r="W56" s="2"/>
      <c r="X56" s="2"/>
      <c r="Y56" s="37">
        <v>5</v>
      </c>
      <c r="Z56" s="37"/>
      <c r="AA56" s="2"/>
      <c r="AB56" s="2"/>
      <c r="AC56" s="2"/>
      <c r="AD56" s="2"/>
      <c r="AE56" s="2"/>
      <c r="AF56" s="37">
        <v>5</v>
      </c>
      <c r="AG56" s="37"/>
      <c r="AH56" s="113">
        <v>15</v>
      </c>
      <c r="AI56" s="138" t="s">
        <v>259</v>
      </c>
      <c r="AJ56" s="64"/>
      <c r="AK56" s="64"/>
      <c r="AL56" s="64"/>
      <c r="AM56" s="64"/>
      <c r="AN56" s="64"/>
      <c r="AO56" s="129">
        <v>15</v>
      </c>
      <c r="AP56" s="130" t="s">
        <v>144</v>
      </c>
    </row>
    <row r="57" spans="1:42" s="32" customFormat="1" ht="30" customHeight="1" x14ac:dyDescent="0.25">
      <c r="A57" s="145"/>
      <c r="B57" s="132"/>
      <c r="C57" s="118"/>
      <c r="D57" s="101"/>
      <c r="E57" s="2" t="s">
        <v>16</v>
      </c>
      <c r="F57" s="2"/>
      <c r="G57" s="2"/>
      <c r="H57" s="2"/>
      <c r="I57" s="2"/>
      <c r="J57" s="2"/>
      <c r="K57" s="37"/>
      <c r="L57" s="37"/>
      <c r="M57" s="2"/>
      <c r="N57" s="2"/>
      <c r="O57" s="2"/>
      <c r="P57" s="2"/>
      <c r="Q57" s="2"/>
      <c r="R57" s="37"/>
      <c r="S57" s="37"/>
      <c r="T57" s="2"/>
      <c r="U57" s="2"/>
      <c r="V57" s="2"/>
      <c r="W57" s="2"/>
      <c r="X57" s="2"/>
      <c r="Y57" s="37"/>
      <c r="Z57" s="37"/>
      <c r="AA57" s="2"/>
      <c r="AB57" s="2"/>
      <c r="AC57" s="2"/>
      <c r="AD57" s="2"/>
      <c r="AE57" s="2"/>
      <c r="AF57" s="37">
        <v>5</v>
      </c>
      <c r="AG57" s="37"/>
      <c r="AH57" s="114"/>
      <c r="AI57" s="139"/>
      <c r="AJ57" s="64"/>
      <c r="AK57" s="64"/>
      <c r="AL57" s="64"/>
      <c r="AM57" s="64"/>
      <c r="AN57" s="64"/>
      <c r="AO57" s="129"/>
      <c r="AP57" s="130"/>
    </row>
    <row r="58" spans="1:42" s="32" customFormat="1" ht="56.25" customHeight="1" x14ac:dyDescent="0.25">
      <c r="A58" s="118" t="s">
        <v>109</v>
      </c>
      <c r="B58" s="35" t="s">
        <v>25</v>
      </c>
      <c r="C58" s="35" t="s">
        <v>86</v>
      </c>
      <c r="D58" s="99" t="s">
        <v>110</v>
      </c>
      <c r="E58" s="2" t="s">
        <v>204</v>
      </c>
      <c r="F58" s="2"/>
      <c r="G58" s="2"/>
      <c r="H58" s="2"/>
      <c r="I58" s="2"/>
      <c r="J58" s="2"/>
      <c r="K58" s="37"/>
      <c r="L58" s="37"/>
      <c r="M58" s="2"/>
      <c r="N58" s="2"/>
      <c r="O58" s="2"/>
      <c r="P58" s="2"/>
      <c r="Q58" s="2"/>
      <c r="R58" s="37"/>
      <c r="S58" s="37"/>
      <c r="T58" s="2"/>
      <c r="U58" s="2"/>
      <c r="V58" s="2"/>
      <c r="W58" s="2"/>
      <c r="X58" s="2"/>
      <c r="Y58" s="37"/>
      <c r="Z58" s="37"/>
      <c r="AA58" s="2"/>
      <c r="AB58" s="2"/>
      <c r="AC58" s="2">
        <v>5</v>
      </c>
      <c r="AD58" s="2">
        <v>5</v>
      </c>
      <c r="AE58" s="2"/>
      <c r="AF58" s="37"/>
      <c r="AG58" s="37"/>
      <c r="AH58" s="45">
        <f>SUM(F58:AF58)</f>
        <v>10</v>
      </c>
      <c r="AI58" s="57" t="s">
        <v>229</v>
      </c>
    </row>
    <row r="59" spans="1:42" s="32" customFormat="1" ht="56.25" customHeight="1" x14ac:dyDescent="0.25">
      <c r="A59" s="118"/>
      <c r="B59" s="35" t="s">
        <v>34</v>
      </c>
      <c r="C59" s="35" t="s">
        <v>124</v>
      </c>
      <c r="D59" s="101"/>
      <c r="E59" s="2" t="s">
        <v>204</v>
      </c>
      <c r="F59" s="2"/>
      <c r="G59" s="2"/>
      <c r="H59" s="2"/>
      <c r="I59" s="2"/>
      <c r="J59" s="2"/>
      <c r="K59" s="37"/>
      <c r="L59" s="37"/>
      <c r="M59" s="2"/>
      <c r="N59" s="2"/>
      <c r="O59" s="2"/>
      <c r="P59" s="2"/>
      <c r="Q59" s="2"/>
      <c r="R59" s="37"/>
      <c r="S59" s="37"/>
      <c r="T59" s="2"/>
      <c r="U59" s="2"/>
      <c r="V59" s="2">
        <v>5</v>
      </c>
      <c r="W59" s="2">
        <v>5</v>
      </c>
      <c r="X59" s="2"/>
      <c r="Y59" s="37"/>
      <c r="Z59" s="37"/>
      <c r="AA59" s="2"/>
      <c r="AB59" s="2"/>
      <c r="AC59" s="2"/>
      <c r="AD59" s="2"/>
      <c r="AE59" s="2"/>
      <c r="AF59" s="37"/>
      <c r="AG59" s="37"/>
      <c r="AH59" s="45">
        <v>20</v>
      </c>
      <c r="AI59" s="57" t="s">
        <v>230</v>
      </c>
    </row>
    <row r="60" spans="1:42" s="32" customFormat="1" ht="67.5" customHeight="1" x14ac:dyDescent="0.25">
      <c r="A60" s="67" t="s">
        <v>183</v>
      </c>
      <c r="B60" s="34" t="s">
        <v>171</v>
      </c>
      <c r="C60" s="35" t="s">
        <v>35</v>
      </c>
      <c r="D60" s="100"/>
      <c r="E60" s="89" t="s">
        <v>228</v>
      </c>
      <c r="F60" s="78"/>
      <c r="G60" s="78"/>
      <c r="H60" s="78">
        <v>5</v>
      </c>
      <c r="I60" s="78">
        <v>5</v>
      </c>
      <c r="J60" s="78"/>
      <c r="K60" s="151"/>
      <c r="L60" s="151"/>
      <c r="M60" s="78"/>
      <c r="N60" s="78"/>
      <c r="O60" s="89">
        <v>5</v>
      </c>
      <c r="P60" s="89">
        <v>5</v>
      </c>
      <c r="Q60" s="89"/>
      <c r="R60" s="151"/>
      <c r="S60" s="152"/>
      <c r="T60" s="78"/>
      <c r="U60" s="78"/>
      <c r="V60" s="89">
        <v>5</v>
      </c>
      <c r="W60" s="89">
        <v>5</v>
      </c>
      <c r="X60" s="89"/>
      <c r="Y60" s="151"/>
      <c r="Z60" s="152"/>
      <c r="AA60" s="89"/>
      <c r="AB60" s="89"/>
      <c r="AC60" s="89">
        <v>5</v>
      </c>
      <c r="AD60" s="89">
        <v>5</v>
      </c>
      <c r="AE60" s="89"/>
      <c r="AF60" s="152"/>
      <c r="AG60" s="152"/>
      <c r="AH60" s="87">
        <f>SUM(F60:AF60)</f>
        <v>40</v>
      </c>
      <c r="AI60" s="93">
        <v>36</v>
      </c>
    </row>
    <row r="61" spans="1:42" s="32" customFormat="1" ht="28.5" customHeight="1" x14ac:dyDescent="0.25">
      <c r="A61" s="99" t="s">
        <v>215</v>
      </c>
      <c r="B61" s="99" t="s">
        <v>171</v>
      </c>
      <c r="C61" s="118" t="s">
        <v>31</v>
      </c>
      <c r="D61" s="99" t="s">
        <v>222</v>
      </c>
      <c r="E61" s="2" t="s">
        <v>250</v>
      </c>
      <c r="F61" s="2"/>
      <c r="G61" s="2"/>
      <c r="H61" s="2"/>
      <c r="I61" s="2"/>
      <c r="J61" s="2"/>
      <c r="K61" s="37">
        <v>5</v>
      </c>
      <c r="L61" s="37"/>
      <c r="M61" s="2"/>
      <c r="N61" s="2"/>
      <c r="O61" s="2"/>
      <c r="P61" s="2"/>
      <c r="Q61" s="2"/>
      <c r="R61" s="37">
        <v>5</v>
      </c>
      <c r="S61" s="37"/>
      <c r="T61" s="2"/>
      <c r="U61" s="2"/>
      <c r="V61" s="2"/>
      <c r="W61" s="2"/>
      <c r="X61" s="2"/>
      <c r="Y61" s="37"/>
      <c r="Z61" s="37"/>
      <c r="AA61" s="2"/>
      <c r="AB61" s="2"/>
      <c r="AC61" s="2"/>
      <c r="AD61" s="2"/>
      <c r="AE61" s="2"/>
      <c r="AF61" s="37"/>
      <c r="AG61" s="37"/>
      <c r="AH61" s="125">
        <f>SUM(F61:AF63)</f>
        <v>26</v>
      </c>
      <c r="AI61" s="111" t="s">
        <v>254</v>
      </c>
      <c r="AJ61" s="64"/>
      <c r="AK61" s="64"/>
      <c r="AL61" s="64"/>
      <c r="AM61" s="64"/>
      <c r="AN61" s="64"/>
      <c r="AO61" s="129">
        <v>15</v>
      </c>
      <c r="AP61" s="130" t="s">
        <v>144</v>
      </c>
    </row>
    <row r="62" spans="1:42" s="32" customFormat="1" ht="28.5" customHeight="1" x14ac:dyDescent="0.25">
      <c r="A62" s="100"/>
      <c r="B62" s="100"/>
      <c r="C62" s="118"/>
      <c r="D62" s="100"/>
      <c r="E62" s="2" t="s">
        <v>16</v>
      </c>
      <c r="F62" s="2"/>
      <c r="G62" s="2"/>
      <c r="H62" s="2"/>
      <c r="I62" s="2"/>
      <c r="J62" s="2"/>
      <c r="K62" s="37">
        <v>4</v>
      </c>
      <c r="L62" s="37"/>
      <c r="M62" s="2"/>
      <c r="N62" s="2"/>
      <c r="O62" s="2"/>
      <c r="P62" s="2"/>
      <c r="Q62" s="2"/>
      <c r="R62" s="37">
        <v>4</v>
      </c>
      <c r="S62" s="37"/>
      <c r="T62" s="2"/>
      <c r="U62" s="2"/>
      <c r="V62" s="2"/>
      <c r="W62" s="2"/>
      <c r="X62" s="2"/>
      <c r="Y62" s="37"/>
      <c r="Z62" s="37"/>
      <c r="AA62" s="2"/>
      <c r="AB62" s="2"/>
      <c r="AC62" s="2"/>
      <c r="AD62" s="2"/>
      <c r="AE62" s="2"/>
      <c r="AF62" s="37"/>
      <c r="AG62" s="37"/>
      <c r="AH62" s="125"/>
      <c r="AI62" s="137"/>
      <c r="AJ62" s="64"/>
      <c r="AK62" s="64"/>
      <c r="AL62" s="64"/>
      <c r="AM62" s="64"/>
      <c r="AN62" s="64"/>
      <c r="AO62" s="129"/>
      <c r="AP62" s="130"/>
    </row>
    <row r="63" spans="1:42" s="32" customFormat="1" ht="31.5" customHeight="1" x14ac:dyDescent="0.25">
      <c r="A63" s="100"/>
      <c r="B63" s="101"/>
      <c r="C63" s="118"/>
      <c r="D63" s="100"/>
      <c r="E63" s="2" t="s">
        <v>216</v>
      </c>
      <c r="F63" s="2"/>
      <c r="G63" s="2"/>
      <c r="H63" s="2"/>
      <c r="I63" s="2"/>
      <c r="J63" s="2">
        <v>4</v>
      </c>
      <c r="K63" s="37"/>
      <c r="L63" s="37"/>
      <c r="M63" s="2"/>
      <c r="N63" s="2"/>
      <c r="O63" s="2"/>
      <c r="P63" s="2"/>
      <c r="Q63" s="2">
        <v>4</v>
      </c>
      <c r="R63" s="37"/>
      <c r="S63" s="37"/>
      <c r="T63" s="2"/>
      <c r="U63" s="2"/>
      <c r="V63" s="2"/>
      <c r="W63" s="2"/>
      <c r="X63" s="2"/>
      <c r="Y63" s="37"/>
      <c r="Z63" s="37"/>
      <c r="AA63" s="2"/>
      <c r="AB63" s="2"/>
      <c r="AC63" s="2"/>
      <c r="AD63" s="2"/>
      <c r="AE63" s="2"/>
      <c r="AF63" s="37"/>
      <c r="AG63" s="37"/>
      <c r="AH63" s="125"/>
      <c r="AI63" s="112"/>
      <c r="AJ63" s="64"/>
      <c r="AK63" s="64"/>
      <c r="AL63" s="64"/>
      <c r="AM63" s="64"/>
      <c r="AN63" s="64"/>
      <c r="AO63" s="129"/>
      <c r="AP63" s="130"/>
    </row>
    <row r="64" spans="1:42" s="32" customFormat="1" ht="31.5" customHeight="1" x14ac:dyDescent="0.25">
      <c r="A64" s="100"/>
      <c r="B64" s="99" t="s">
        <v>249</v>
      </c>
      <c r="C64" s="118" t="s">
        <v>31</v>
      </c>
      <c r="D64" s="100"/>
      <c r="E64" s="2" t="s">
        <v>250</v>
      </c>
      <c r="F64" s="2"/>
      <c r="G64" s="2"/>
      <c r="H64" s="2"/>
      <c r="I64" s="2"/>
      <c r="J64" s="2"/>
      <c r="K64" s="37"/>
      <c r="L64" s="37"/>
      <c r="M64" s="2"/>
      <c r="N64" s="2"/>
      <c r="O64" s="2"/>
      <c r="P64" s="2"/>
      <c r="Q64" s="2"/>
      <c r="R64" s="37"/>
      <c r="S64" s="37"/>
      <c r="T64" s="2"/>
      <c r="U64" s="2"/>
      <c r="V64" s="2"/>
      <c r="W64" s="2"/>
      <c r="X64" s="2"/>
      <c r="Y64" s="37">
        <v>5</v>
      </c>
      <c r="Z64" s="37"/>
      <c r="AA64" s="2"/>
      <c r="AB64" s="2"/>
      <c r="AC64" s="2"/>
      <c r="AD64" s="2"/>
      <c r="AE64" s="2"/>
      <c r="AF64" s="37">
        <v>5</v>
      </c>
      <c r="AG64" s="37"/>
      <c r="AH64" s="125">
        <f>SUM(F64:AF66)</f>
        <v>26</v>
      </c>
      <c r="AI64" s="111"/>
      <c r="AJ64" s="64"/>
      <c r="AK64" s="64"/>
      <c r="AL64" s="64"/>
      <c r="AM64" s="64"/>
      <c r="AN64" s="64"/>
      <c r="AO64" s="70"/>
      <c r="AP64" s="71"/>
    </row>
    <row r="65" spans="1:42" s="32" customFormat="1" ht="31.5" customHeight="1" x14ac:dyDescent="0.25">
      <c r="A65" s="100"/>
      <c r="B65" s="100"/>
      <c r="C65" s="118"/>
      <c r="D65" s="100"/>
      <c r="E65" s="2" t="s">
        <v>16</v>
      </c>
      <c r="F65" s="2"/>
      <c r="G65" s="2"/>
      <c r="H65" s="2"/>
      <c r="I65" s="2"/>
      <c r="J65" s="2"/>
      <c r="K65" s="37"/>
      <c r="L65" s="37"/>
      <c r="M65" s="2"/>
      <c r="N65" s="2"/>
      <c r="O65" s="2"/>
      <c r="P65" s="2"/>
      <c r="Q65" s="2"/>
      <c r="R65" s="37"/>
      <c r="S65" s="37"/>
      <c r="T65" s="2"/>
      <c r="U65" s="2"/>
      <c r="V65" s="2"/>
      <c r="W65" s="2"/>
      <c r="X65" s="2"/>
      <c r="Y65" s="37">
        <v>4</v>
      </c>
      <c r="Z65" s="37"/>
      <c r="AA65" s="2"/>
      <c r="AB65" s="2"/>
      <c r="AC65" s="2"/>
      <c r="AD65" s="2"/>
      <c r="AE65" s="2"/>
      <c r="AF65" s="37">
        <v>4</v>
      </c>
      <c r="AG65" s="37"/>
      <c r="AH65" s="125"/>
      <c r="AI65" s="137"/>
      <c r="AJ65" s="64"/>
      <c r="AK65" s="64"/>
      <c r="AL65" s="64"/>
      <c r="AM65" s="64"/>
      <c r="AN65" s="64"/>
      <c r="AO65" s="70"/>
      <c r="AP65" s="71"/>
    </row>
    <row r="66" spans="1:42" s="32" customFormat="1" ht="31.5" customHeight="1" x14ac:dyDescent="0.25">
      <c r="A66" s="100"/>
      <c r="B66" s="100"/>
      <c r="C66" s="118"/>
      <c r="D66" s="101"/>
      <c r="E66" s="2" t="s">
        <v>216</v>
      </c>
      <c r="F66" s="2"/>
      <c r="G66" s="2"/>
      <c r="H66" s="2"/>
      <c r="I66" s="2"/>
      <c r="J66" s="2"/>
      <c r="K66" s="37"/>
      <c r="L66" s="37"/>
      <c r="M66" s="2"/>
      <c r="N66" s="2"/>
      <c r="O66" s="2"/>
      <c r="P66" s="2"/>
      <c r="Q66" s="2"/>
      <c r="R66" s="37"/>
      <c r="S66" s="37"/>
      <c r="T66" s="2"/>
      <c r="U66" s="2"/>
      <c r="V66" s="2"/>
      <c r="W66" s="2"/>
      <c r="X66" s="2">
        <v>4</v>
      </c>
      <c r="Y66" s="37"/>
      <c r="Z66" s="37"/>
      <c r="AA66" s="2"/>
      <c r="AB66" s="2"/>
      <c r="AC66" s="2"/>
      <c r="AD66" s="2"/>
      <c r="AE66" s="2">
        <v>4</v>
      </c>
      <c r="AF66" s="37"/>
      <c r="AG66" s="37"/>
      <c r="AH66" s="125"/>
      <c r="AI66" s="112"/>
      <c r="AJ66" s="64"/>
      <c r="AK66" s="64"/>
      <c r="AL66" s="64"/>
      <c r="AM66" s="64"/>
      <c r="AN66" s="64"/>
      <c r="AO66" s="70"/>
      <c r="AP66" s="71"/>
    </row>
    <row r="67" spans="1:42" s="32" customFormat="1" ht="23.25" customHeight="1" x14ac:dyDescent="0.25">
      <c r="A67" s="99" t="s">
        <v>102</v>
      </c>
      <c r="B67" s="131" t="s">
        <v>149</v>
      </c>
      <c r="C67" s="133" t="s">
        <v>23</v>
      </c>
      <c r="D67" s="99" t="s">
        <v>99</v>
      </c>
      <c r="E67" s="2" t="s">
        <v>15</v>
      </c>
      <c r="F67" s="2"/>
      <c r="G67" s="2"/>
      <c r="H67" s="2"/>
      <c r="I67" s="2"/>
      <c r="J67" s="2"/>
      <c r="K67" s="37">
        <v>4</v>
      </c>
      <c r="L67" s="37"/>
      <c r="M67" s="2"/>
      <c r="N67" s="2"/>
      <c r="O67" s="2"/>
      <c r="P67" s="2"/>
      <c r="Q67" s="2"/>
      <c r="R67" s="37">
        <v>4</v>
      </c>
      <c r="S67" s="37"/>
      <c r="T67" s="2"/>
      <c r="U67" s="2"/>
      <c r="V67" s="2"/>
      <c r="W67" s="2"/>
      <c r="X67" s="2"/>
      <c r="Y67" s="37">
        <v>4</v>
      </c>
      <c r="Z67" s="37"/>
      <c r="AA67" s="2"/>
      <c r="AB67" s="2"/>
      <c r="AC67" s="2"/>
      <c r="AD67" s="2"/>
      <c r="AE67" s="2"/>
      <c r="AF67" s="37"/>
      <c r="AG67" s="37"/>
      <c r="AH67" s="113">
        <f>SUM(J67:AG68)</f>
        <v>25</v>
      </c>
      <c r="AI67" s="115" t="s">
        <v>108</v>
      </c>
    </row>
    <row r="68" spans="1:42" s="32" customFormat="1" ht="23.25" customHeight="1" x14ac:dyDescent="0.25">
      <c r="A68" s="100"/>
      <c r="B68" s="132"/>
      <c r="C68" s="142"/>
      <c r="D68" s="100"/>
      <c r="E68" s="2" t="s">
        <v>16</v>
      </c>
      <c r="F68" s="2"/>
      <c r="G68" s="2"/>
      <c r="H68" s="2"/>
      <c r="I68" s="2"/>
      <c r="J68" s="2"/>
      <c r="K68" s="37">
        <v>4</v>
      </c>
      <c r="L68" s="37"/>
      <c r="M68" s="2"/>
      <c r="N68" s="2"/>
      <c r="O68" s="2"/>
      <c r="P68" s="2"/>
      <c r="Q68" s="2"/>
      <c r="R68" s="37">
        <v>4</v>
      </c>
      <c r="S68" s="37"/>
      <c r="T68" s="2"/>
      <c r="U68" s="2"/>
      <c r="V68" s="2"/>
      <c r="W68" s="2"/>
      <c r="X68" s="2"/>
      <c r="Y68" s="37">
        <v>5</v>
      </c>
      <c r="Z68" s="37"/>
      <c r="AA68" s="2"/>
      <c r="AB68" s="2"/>
      <c r="AC68" s="2"/>
      <c r="AD68" s="2"/>
      <c r="AE68" s="2"/>
      <c r="AF68" s="37"/>
      <c r="AG68" s="37"/>
      <c r="AH68" s="114"/>
      <c r="AI68" s="116"/>
    </row>
    <row r="69" spans="1:42" s="32" customFormat="1" ht="23.25" customHeight="1" x14ac:dyDescent="0.25">
      <c r="A69" s="100"/>
      <c r="B69" s="99" t="s">
        <v>236</v>
      </c>
      <c r="C69" s="133" t="s">
        <v>23</v>
      </c>
      <c r="D69" s="100"/>
      <c r="E69" s="2" t="s">
        <v>15</v>
      </c>
      <c r="F69" s="2"/>
      <c r="G69" s="2"/>
      <c r="H69" s="2"/>
      <c r="I69" s="2"/>
      <c r="J69" s="2"/>
      <c r="K69" s="37"/>
      <c r="L69" s="37"/>
      <c r="M69" s="2"/>
      <c r="N69" s="2"/>
      <c r="O69" s="2"/>
      <c r="P69" s="2"/>
      <c r="Q69" s="2"/>
      <c r="R69" s="37"/>
      <c r="S69" s="37"/>
      <c r="T69" s="2"/>
      <c r="U69" s="2"/>
      <c r="V69" s="2"/>
      <c r="W69" s="2"/>
      <c r="X69" s="2"/>
      <c r="Y69" s="37"/>
      <c r="Z69" s="37"/>
      <c r="AA69" s="2"/>
      <c r="AB69" s="2"/>
      <c r="AC69" s="2"/>
      <c r="AD69" s="2"/>
      <c r="AE69" s="2"/>
      <c r="AF69" s="37">
        <v>5</v>
      </c>
      <c r="AG69" s="37"/>
      <c r="AH69" s="113">
        <v>9</v>
      </c>
      <c r="AI69" s="117" t="s">
        <v>237</v>
      </c>
    </row>
    <row r="70" spans="1:42" s="32" customFormat="1" ht="23.25" customHeight="1" x14ac:dyDescent="0.25">
      <c r="A70" s="101"/>
      <c r="B70" s="100"/>
      <c r="C70" s="142"/>
      <c r="D70" s="101"/>
      <c r="E70" s="2" t="s">
        <v>16</v>
      </c>
      <c r="F70" s="2"/>
      <c r="G70" s="2"/>
      <c r="H70" s="2"/>
      <c r="I70" s="2"/>
      <c r="J70" s="2"/>
      <c r="K70" s="37"/>
      <c r="L70" s="37"/>
      <c r="M70" s="2"/>
      <c r="N70" s="2"/>
      <c r="O70" s="2"/>
      <c r="P70" s="2"/>
      <c r="Q70" s="2"/>
      <c r="R70" s="37"/>
      <c r="S70" s="37"/>
      <c r="T70" s="2"/>
      <c r="U70" s="2"/>
      <c r="V70" s="2"/>
      <c r="W70" s="2"/>
      <c r="X70" s="2"/>
      <c r="Y70" s="37"/>
      <c r="Z70" s="37"/>
      <c r="AA70" s="2"/>
      <c r="AB70" s="2"/>
      <c r="AC70" s="2"/>
      <c r="AD70" s="2"/>
      <c r="AE70" s="2"/>
      <c r="AF70" s="37">
        <v>4</v>
      </c>
      <c r="AG70" s="37"/>
      <c r="AH70" s="114"/>
      <c r="AI70" s="116"/>
    </row>
    <row r="71" spans="1:42" s="32" customFormat="1" ht="27" customHeight="1" x14ac:dyDescent="0.25">
      <c r="A71" s="99" t="s">
        <v>217</v>
      </c>
      <c r="B71" s="136" t="s">
        <v>171</v>
      </c>
      <c r="C71" s="99" t="s">
        <v>26</v>
      </c>
      <c r="D71" s="99" t="s">
        <v>218</v>
      </c>
      <c r="E71" s="2" t="s">
        <v>17</v>
      </c>
      <c r="F71" s="2"/>
      <c r="G71" s="2"/>
      <c r="H71" s="2"/>
      <c r="I71" s="2"/>
      <c r="J71" s="2"/>
      <c r="K71" s="37">
        <v>4</v>
      </c>
      <c r="L71" s="37"/>
      <c r="M71" s="2"/>
      <c r="N71" s="2"/>
      <c r="O71" s="2"/>
      <c r="P71" s="2"/>
      <c r="Q71" s="2"/>
      <c r="R71" s="37"/>
      <c r="S71" s="37"/>
      <c r="T71" s="2"/>
      <c r="U71" s="2"/>
      <c r="V71" s="2"/>
      <c r="W71" s="2"/>
      <c r="X71" s="2"/>
      <c r="Y71" s="37">
        <v>4</v>
      </c>
      <c r="Z71" s="37"/>
      <c r="AA71" s="2"/>
      <c r="AB71" s="2"/>
      <c r="AC71" s="2"/>
      <c r="AD71" s="2"/>
      <c r="AE71" s="2"/>
      <c r="AF71" s="37">
        <v>5</v>
      </c>
      <c r="AG71" s="37"/>
      <c r="AH71" s="113">
        <f>SUM(F71:AG72)</f>
        <v>21</v>
      </c>
      <c r="AI71" s="134" t="s">
        <v>108</v>
      </c>
    </row>
    <row r="72" spans="1:42" s="32" customFormat="1" ht="27" customHeight="1" x14ac:dyDescent="0.25">
      <c r="A72" s="100"/>
      <c r="B72" s="136"/>
      <c r="C72" s="101"/>
      <c r="D72" s="100"/>
      <c r="E72" s="2" t="s">
        <v>16</v>
      </c>
      <c r="F72" s="2"/>
      <c r="G72" s="2"/>
      <c r="H72" s="2"/>
      <c r="I72" s="2"/>
      <c r="J72" s="2"/>
      <c r="K72" s="37">
        <v>4</v>
      </c>
      <c r="L72" s="37"/>
      <c r="M72" s="2"/>
      <c r="N72" s="2"/>
      <c r="O72" s="2"/>
      <c r="P72" s="2"/>
      <c r="Q72" s="2"/>
      <c r="R72" s="37"/>
      <c r="S72" s="37"/>
      <c r="T72" s="2"/>
      <c r="U72" s="2"/>
      <c r="V72" s="2"/>
      <c r="W72" s="2"/>
      <c r="X72" s="2"/>
      <c r="Y72" s="37">
        <v>4</v>
      </c>
      <c r="Z72" s="37"/>
      <c r="AA72" s="2"/>
      <c r="AB72" s="2"/>
      <c r="AC72" s="2"/>
      <c r="AD72" s="2"/>
      <c r="AE72" s="2"/>
      <c r="AF72" s="37"/>
      <c r="AG72" s="37"/>
      <c r="AH72" s="114"/>
      <c r="AI72" s="135"/>
      <c r="AJ72" s="64"/>
      <c r="AK72" s="64"/>
      <c r="AL72" s="64"/>
      <c r="AM72" s="64"/>
      <c r="AN72" s="64"/>
    </row>
    <row r="73" spans="1:42" s="32" customFormat="1" ht="27" customHeight="1" x14ac:dyDescent="0.25">
      <c r="A73" s="100"/>
      <c r="B73" s="62" t="s">
        <v>151</v>
      </c>
      <c r="C73" s="99" t="s">
        <v>26</v>
      </c>
      <c r="D73" s="100"/>
      <c r="E73" s="2" t="s">
        <v>216</v>
      </c>
      <c r="F73" s="2"/>
      <c r="G73" s="2"/>
      <c r="H73" s="2"/>
      <c r="I73" s="2"/>
      <c r="J73" s="2"/>
      <c r="K73" s="37">
        <v>4</v>
      </c>
      <c r="L73" s="37"/>
      <c r="M73" s="2"/>
      <c r="N73" s="2"/>
      <c r="O73" s="2"/>
      <c r="P73" s="2"/>
      <c r="Q73" s="2"/>
      <c r="R73" s="37"/>
      <c r="S73" s="37"/>
      <c r="T73" s="2"/>
      <c r="U73" s="2"/>
      <c r="V73" s="2"/>
      <c r="W73" s="2"/>
      <c r="X73" s="2"/>
      <c r="Y73" s="37">
        <v>4</v>
      </c>
      <c r="Z73" s="37"/>
      <c r="AA73" s="2"/>
      <c r="AB73" s="2"/>
      <c r="AC73" s="2"/>
      <c r="AD73" s="2"/>
      <c r="AE73" s="2"/>
      <c r="AF73" s="37">
        <v>4</v>
      </c>
      <c r="AG73" s="37"/>
      <c r="AH73" s="45">
        <v>12</v>
      </c>
      <c r="AI73" s="58" t="s">
        <v>262</v>
      </c>
      <c r="AJ73" s="64"/>
      <c r="AK73" s="64"/>
      <c r="AL73" s="64"/>
      <c r="AM73" s="64"/>
      <c r="AN73" s="64"/>
    </row>
    <row r="74" spans="1:42" s="32" customFormat="1" ht="27" customHeight="1" x14ac:dyDescent="0.25">
      <c r="A74" s="100"/>
      <c r="B74" s="62" t="s">
        <v>30</v>
      </c>
      <c r="C74" s="101"/>
      <c r="D74" s="100"/>
      <c r="E74" s="2" t="s">
        <v>16</v>
      </c>
      <c r="F74" s="2"/>
      <c r="G74" s="2"/>
      <c r="H74" s="2"/>
      <c r="I74" s="2"/>
      <c r="J74" s="2"/>
      <c r="K74" s="37"/>
      <c r="L74" s="37"/>
      <c r="M74" s="2"/>
      <c r="N74" s="2"/>
      <c r="O74" s="2"/>
      <c r="P74" s="2"/>
      <c r="Q74" s="2"/>
      <c r="R74" s="37"/>
      <c r="S74" s="37"/>
      <c r="T74" s="2"/>
      <c r="U74" s="2"/>
      <c r="V74" s="2"/>
      <c r="W74" s="2"/>
      <c r="X74" s="2"/>
      <c r="Y74" s="37"/>
      <c r="Z74" s="37"/>
      <c r="AA74" s="2"/>
      <c r="AB74" s="2"/>
      <c r="AC74" s="2"/>
      <c r="AD74" s="2"/>
      <c r="AE74" s="2"/>
      <c r="AF74" s="37">
        <v>5</v>
      </c>
      <c r="AG74" s="37"/>
      <c r="AH74" s="87">
        <v>5</v>
      </c>
      <c r="AI74" s="90" t="s">
        <v>261</v>
      </c>
      <c r="AJ74" s="64"/>
      <c r="AK74" s="64"/>
      <c r="AL74" s="64"/>
      <c r="AM74" s="64"/>
      <c r="AN74" s="64"/>
    </row>
    <row r="75" spans="1:42" s="32" customFormat="1" ht="25.5" customHeight="1" x14ac:dyDescent="0.25">
      <c r="A75" s="100"/>
      <c r="B75" s="99" t="s">
        <v>93</v>
      </c>
      <c r="C75" s="100" t="s">
        <v>103</v>
      </c>
      <c r="D75" s="100"/>
      <c r="E75" s="2" t="s">
        <v>228</v>
      </c>
      <c r="F75" s="2"/>
      <c r="G75" s="2"/>
      <c r="H75" s="2"/>
      <c r="I75" s="2"/>
      <c r="J75" s="2"/>
      <c r="K75" s="37"/>
      <c r="L75" s="37"/>
      <c r="M75" s="2"/>
      <c r="N75" s="2"/>
      <c r="O75" s="2"/>
      <c r="P75" s="2"/>
      <c r="Q75" s="2"/>
      <c r="R75" s="37">
        <v>5</v>
      </c>
      <c r="S75" s="37"/>
      <c r="T75" s="2"/>
      <c r="U75" s="2"/>
      <c r="V75" s="2"/>
      <c r="W75" s="2"/>
      <c r="X75" s="2"/>
      <c r="Y75" s="37"/>
      <c r="Z75" s="37"/>
      <c r="AA75" s="2"/>
      <c r="AB75" s="2"/>
      <c r="AC75" s="2"/>
      <c r="AD75" s="2"/>
      <c r="AE75" s="2"/>
      <c r="AF75" s="37"/>
      <c r="AG75" s="37"/>
      <c r="AH75" s="113">
        <f>SUM(F75:AG76)</f>
        <v>10</v>
      </c>
      <c r="AI75" s="117" t="s">
        <v>258</v>
      </c>
      <c r="AJ75" s="64"/>
      <c r="AK75" s="64"/>
      <c r="AL75" s="64"/>
      <c r="AM75" s="64"/>
      <c r="AN75" s="64"/>
    </row>
    <row r="76" spans="1:42" s="32" customFormat="1" ht="25.5" customHeight="1" x14ac:dyDescent="0.25">
      <c r="A76" s="101"/>
      <c r="B76" s="101"/>
      <c r="C76" s="101"/>
      <c r="D76" s="101"/>
      <c r="E76" s="2" t="s">
        <v>204</v>
      </c>
      <c r="F76" s="2"/>
      <c r="G76" s="2"/>
      <c r="H76" s="2"/>
      <c r="I76" s="2"/>
      <c r="J76" s="2"/>
      <c r="K76" s="37"/>
      <c r="L76" s="37"/>
      <c r="M76" s="2"/>
      <c r="N76" s="2"/>
      <c r="O76" s="2"/>
      <c r="P76" s="2"/>
      <c r="Q76" s="2"/>
      <c r="R76" s="37">
        <v>5</v>
      </c>
      <c r="S76" s="37"/>
      <c r="T76" s="2"/>
      <c r="U76" s="2"/>
      <c r="V76" s="2"/>
      <c r="W76" s="2"/>
      <c r="X76" s="2"/>
      <c r="Y76" s="37"/>
      <c r="Z76" s="37"/>
      <c r="AA76" s="2"/>
      <c r="AB76" s="2"/>
      <c r="AC76" s="2"/>
      <c r="AD76" s="2"/>
      <c r="AE76" s="2"/>
      <c r="AF76" s="37"/>
      <c r="AG76" s="37"/>
      <c r="AH76" s="114"/>
      <c r="AI76" s="135"/>
      <c r="AJ76" s="64"/>
      <c r="AK76" s="64"/>
      <c r="AL76" s="64"/>
      <c r="AM76" s="64"/>
      <c r="AN76" s="64"/>
    </row>
    <row r="77" spans="1:42" s="32" customFormat="1" ht="27" customHeight="1" x14ac:dyDescent="0.25">
      <c r="A77" s="99" t="s">
        <v>257</v>
      </c>
      <c r="B77" s="99" t="s">
        <v>171</v>
      </c>
      <c r="C77" s="99" t="s">
        <v>35</v>
      </c>
      <c r="D77" s="99" t="s">
        <v>218</v>
      </c>
      <c r="E77" s="2" t="s">
        <v>228</v>
      </c>
      <c r="F77" s="2"/>
      <c r="G77" s="2"/>
      <c r="H77" s="2"/>
      <c r="I77" s="2"/>
      <c r="J77" s="2"/>
      <c r="K77" s="37">
        <v>4</v>
      </c>
      <c r="L77" s="37"/>
      <c r="M77" s="2"/>
      <c r="N77" s="2"/>
      <c r="O77" s="2"/>
      <c r="P77" s="2"/>
      <c r="Q77" s="2"/>
      <c r="R77" s="37">
        <v>4</v>
      </c>
      <c r="S77" s="37"/>
      <c r="T77" s="2"/>
      <c r="U77" s="2"/>
      <c r="V77" s="2"/>
      <c r="W77" s="2"/>
      <c r="X77" s="2"/>
      <c r="Y77" s="37">
        <v>4</v>
      </c>
      <c r="Z77" s="37"/>
      <c r="AA77" s="2"/>
      <c r="AB77" s="2"/>
      <c r="AC77" s="2"/>
      <c r="AD77" s="2"/>
      <c r="AE77" s="2"/>
      <c r="AF77" s="37">
        <v>4</v>
      </c>
      <c r="AG77" s="37"/>
      <c r="AH77" s="113">
        <f>SUM(F77:AG78)</f>
        <v>32</v>
      </c>
      <c r="AI77" s="134" t="s">
        <v>177</v>
      </c>
    </row>
    <row r="78" spans="1:42" s="32" customFormat="1" ht="38.25" customHeight="1" x14ac:dyDescent="0.25">
      <c r="A78" s="100"/>
      <c r="B78" s="101"/>
      <c r="C78" s="100"/>
      <c r="D78" s="100"/>
      <c r="E78" s="2" t="s">
        <v>204</v>
      </c>
      <c r="F78" s="2"/>
      <c r="G78" s="2"/>
      <c r="H78" s="2"/>
      <c r="I78" s="2"/>
      <c r="J78" s="2"/>
      <c r="K78" s="37">
        <v>4</v>
      </c>
      <c r="L78" s="37"/>
      <c r="M78" s="2"/>
      <c r="N78" s="2"/>
      <c r="O78" s="2"/>
      <c r="P78" s="2"/>
      <c r="Q78" s="2"/>
      <c r="R78" s="37">
        <v>4</v>
      </c>
      <c r="S78" s="37"/>
      <c r="T78" s="2"/>
      <c r="U78" s="2"/>
      <c r="V78" s="2"/>
      <c r="W78" s="2"/>
      <c r="X78" s="2"/>
      <c r="Y78" s="37">
        <v>4</v>
      </c>
      <c r="Z78" s="37"/>
      <c r="AA78" s="2"/>
      <c r="AB78" s="2"/>
      <c r="AC78" s="2"/>
      <c r="AD78" s="2"/>
      <c r="AE78" s="2"/>
      <c r="AF78" s="37">
        <v>4</v>
      </c>
      <c r="AG78" s="37"/>
      <c r="AH78" s="114"/>
      <c r="AI78" s="135"/>
      <c r="AJ78" s="64"/>
      <c r="AK78" s="64"/>
      <c r="AL78" s="64"/>
      <c r="AM78" s="64"/>
      <c r="AN78" s="64"/>
    </row>
    <row r="79" spans="1:42" s="32" customFormat="1" ht="38.25" customHeight="1" x14ac:dyDescent="0.25">
      <c r="A79" s="101"/>
      <c r="B79" s="62" t="s">
        <v>151</v>
      </c>
      <c r="C79" s="101"/>
      <c r="D79" s="101"/>
      <c r="E79" s="2" t="s">
        <v>216</v>
      </c>
      <c r="F79" s="2"/>
      <c r="G79" s="2"/>
      <c r="H79" s="2"/>
      <c r="I79" s="2"/>
      <c r="J79" s="2"/>
      <c r="K79" s="37">
        <v>4</v>
      </c>
      <c r="L79" s="37"/>
      <c r="M79" s="2"/>
      <c r="N79" s="2"/>
      <c r="O79" s="2"/>
      <c r="P79" s="2"/>
      <c r="Q79" s="2"/>
      <c r="R79" s="37">
        <v>4</v>
      </c>
      <c r="S79" s="37"/>
      <c r="T79" s="2"/>
      <c r="U79" s="2"/>
      <c r="V79" s="2"/>
      <c r="W79" s="2"/>
      <c r="X79" s="2"/>
      <c r="Y79" s="37">
        <v>4</v>
      </c>
      <c r="Z79" s="37"/>
      <c r="AA79" s="2"/>
      <c r="AB79" s="2"/>
      <c r="AC79" s="2"/>
      <c r="AD79" s="2"/>
      <c r="AE79" s="2"/>
      <c r="AF79" s="37">
        <v>4</v>
      </c>
      <c r="AG79" s="37"/>
      <c r="AH79" s="45">
        <v>12</v>
      </c>
      <c r="AI79" s="58" t="s">
        <v>262</v>
      </c>
      <c r="AJ79" s="64"/>
      <c r="AK79" s="64"/>
      <c r="AL79" s="64"/>
      <c r="AM79" s="64"/>
      <c r="AN79" s="64"/>
    </row>
    <row r="80" spans="1:42" s="32" customFormat="1" ht="25.5" customHeight="1" x14ac:dyDescent="0.25">
      <c r="A80" s="118" t="s">
        <v>221</v>
      </c>
      <c r="B80" s="136" t="s">
        <v>171</v>
      </c>
      <c r="C80" s="131" t="s">
        <v>95</v>
      </c>
      <c r="D80" s="99" t="s">
        <v>218</v>
      </c>
      <c r="E80" s="2" t="s">
        <v>17</v>
      </c>
      <c r="F80" s="2"/>
      <c r="G80" s="2"/>
      <c r="H80" s="2"/>
      <c r="I80" s="2"/>
      <c r="J80" s="2"/>
      <c r="K80" s="37">
        <v>4</v>
      </c>
      <c r="L80" s="37"/>
      <c r="M80" s="2"/>
      <c r="N80" s="2"/>
      <c r="O80" s="2"/>
      <c r="P80" s="2"/>
      <c r="Q80" s="2"/>
      <c r="R80" s="37">
        <v>4</v>
      </c>
      <c r="S80" s="37"/>
      <c r="T80" s="2"/>
      <c r="U80" s="2"/>
      <c r="V80" s="2"/>
      <c r="W80" s="2"/>
      <c r="X80" s="2"/>
      <c r="Y80" s="37">
        <v>5</v>
      </c>
      <c r="Z80" s="37"/>
      <c r="AA80" s="2"/>
      <c r="AB80" s="2"/>
      <c r="AC80" s="2"/>
      <c r="AD80" s="2"/>
      <c r="AE80" s="2"/>
      <c r="AF80" s="37"/>
      <c r="AG80" s="37"/>
      <c r="AH80" s="113">
        <f>SUM(F80:AG81)</f>
        <v>21</v>
      </c>
      <c r="AI80" s="134" t="s">
        <v>108</v>
      </c>
    </row>
    <row r="81" spans="1:42" s="32" customFormat="1" ht="25.5" customHeight="1" x14ac:dyDescent="0.25">
      <c r="A81" s="118"/>
      <c r="B81" s="136"/>
      <c r="C81" s="132"/>
      <c r="D81" s="100"/>
      <c r="E81" s="2" t="s">
        <v>16</v>
      </c>
      <c r="F81" s="2"/>
      <c r="G81" s="2"/>
      <c r="H81" s="2"/>
      <c r="I81" s="2"/>
      <c r="J81" s="2"/>
      <c r="K81" s="37">
        <v>4</v>
      </c>
      <c r="L81" s="37"/>
      <c r="M81" s="2"/>
      <c r="N81" s="2"/>
      <c r="O81" s="2"/>
      <c r="P81" s="2"/>
      <c r="Q81" s="2"/>
      <c r="R81" s="37">
        <v>4</v>
      </c>
      <c r="S81" s="37"/>
      <c r="T81" s="2"/>
      <c r="U81" s="2"/>
      <c r="V81" s="2"/>
      <c r="W81" s="2"/>
      <c r="X81" s="2"/>
      <c r="Y81" s="37"/>
      <c r="Z81" s="37"/>
      <c r="AA81" s="2"/>
      <c r="AB81" s="2"/>
      <c r="AC81" s="2"/>
      <c r="AD81" s="2"/>
      <c r="AE81" s="2"/>
      <c r="AF81" s="37"/>
      <c r="AG81" s="37"/>
      <c r="AH81" s="114"/>
      <c r="AI81" s="135"/>
      <c r="AJ81" s="64"/>
      <c r="AK81" s="64"/>
      <c r="AL81" s="64"/>
      <c r="AM81" s="64"/>
      <c r="AN81" s="64"/>
    </row>
    <row r="82" spans="1:42" s="32" customFormat="1" ht="24" customHeight="1" x14ac:dyDescent="0.25">
      <c r="A82" s="118"/>
      <c r="B82" s="111" t="s">
        <v>151</v>
      </c>
      <c r="C82" s="111" t="s">
        <v>95</v>
      </c>
      <c r="D82" s="100"/>
      <c r="E82" s="2" t="s">
        <v>17</v>
      </c>
      <c r="F82" s="2"/>
      <c r="G82" s="2"/>
      <c r="H82" s="2"/>
      <c r="I82" s="2"/>
      <c r="J82" s="2"/>
      <c r="K82" s="37"/>
      <c r="L82" s="37"/>
      <c r="M82" s="2"/>
      <c r="N82" s="2"/>
      <c r="O82" s="2"/>
      <c r="P82" s="2"/>
      <c r="Q82" s="2"/>
      <c r="R82" s="37"/>
      <c r="S82" s="37"/>
      <c r="T82" s="2"/>
      <c r="U82" s="2"/>
      <c r="V82" s="2"/>
      <c r="W82" s="2"/>
      <c r="X82" s="2"/>
      <c r="Y82" s="37"/>
      <c r="Z82" s="37"/>
      <c r="AA82" s="2"/>
      <c r="AB82" s="2"/>
      <c r="AC82" s="2"/>
      <c r="AD82" s="2"/>
      <c r="AE82" s="2"/>
      <c r="AF82" s="37">
        <v>4</v>
      </c>
      <c r="AG82" s="37"/>
      <c r="AH82" s="113">
        <f>SUM(F82:AF84)</f>
        <v>28</v>
      </c>
      <c r="AI82" s="134" t="s">
        <v>264</v>
      </c>
      <c r="AJ82" s="64"/>
      <c r="AK82" s="64"/>
      <c r="AL82" s="64"/>
      <c r="AM82" s="64"/>
      <c r="AN82" s="64"/>
    </row>
    <row r="83" spans="1:42" s="32" customFormat="1" ht="24" customHeight="1" x14ac:dyDescent="0.25">
      <c r="A83" s="118"/>
      <c r="B83" s="137"/>
      <c r="C83" s="137"/>
      <c r="D83" s="100"/>
      <c r="E83" s="2" t="s">
        <v>16</v>
      </c>
      <c r="F83" s="2"/>
      <c r="G83" s="2"/>
      <c r="H83" s="2"/>
      <c r="I83" s="2"/>
      <c r="J83" s="2"/>
      <c r="K83" s="37"/>
      <c r="L83" s="37"/>
      <c r="M83" s="2"/>
      <c r="N83" s="2"/>
      <c r="O83" s="2"/>
      <c r="P83" s="2"/>
      <c r="Q83" s="2"/>
      <c r="R83" s="37"/>
      <c r="S83" s="37"/>
      <c r="T83" s="2"/>
      <c r="U83" s="2"/>
      <c r="V83" s="2"/>
      <c r="W83" s="2"/>
      <c r="X83" s="2"/>
      <c r="Y83" s="37">
        <v>4</v>
      </c>
      <c r="Z83" s="37"/>
      <c r="AA83" s="2"/>
      <c r="AB83" s="2"/>
      <c r="AC83" s="2"/>
      <c r="AD83" s="2"/>
      <c r="AE83" s="2"/>
      <c r="AF83" s="37">
        <v>4</v>
      </c>
      <c r="AG83" s="37"/>
      <c r="AH83" s="141"/>
      <c r="AI83" s="140"/>
      <c r="AJ83" s="64"/>
      <c r="AK83" s="64"/>
      <c r="AL83" s="64"/>
      <c r="AM83" s="64"/>
      <c r="AN83" s="64"/>
    </row>
    <row r="84" spans="1:42" s="32" customFormat="1" ht="24" customHeight="1" x14ac:dyDescent="0.25">
      <c r="A84" s="118"/>
      <c r="B84" s="112"/>
      <c r="C84" s="112"/>
      <c r="D84" s="100"/>
      <c r="E84" s="2" t="s">
        <v>216</v>
      </c>
      <c r="F84" s="2"/>
      <c r="G84" s="2"/>
      <c r="H84" s="2"/>
      <c r="I84" s="2"/>
      <c r="J84" s="2"/>
      <c r="K84" s="37">
        <v>4</v>
      </c>
      <c r="L84" s="37"/>
      <c r="M84" s="2"/>
      <c r="N84" s="2"/>
      <c r="O84" s="2"/>
      <c r="P84" s="2"/>
      <c r="Q84" s="2"/>
      <c r="R84" s="37">
        <v>4</v>
      </c>
      <c r="S84" s="37"/>
      <c r="T84" s="2"/>
      <c r="U84" s="2"/>
      <c r="V84" s="2"/>
      <c r="W84" s="2"/>
      <c r="X84" s="2"/>
      <c r="Y84" s="37">
        <v>4</v>
      </c>
      <c r="Z84" s="37"/>
      <c r="AA84" s="2"/>
      <c r="AB84" s="2"/>
      <c r="AC84" s="2"/>
      <c r="AD84" s="2"/>
      <c r="AE84" s="2"/>
      <c r="AF84" s="37">
        <v>4</v>
      </c>
      <c r="AG84" s="37"/>
      <c r="AH84" s="114"/>
      <c r="AI84" s="135"/>
    </row>
    <row r="85" spans="1:42" s="32" customFormat="1" ht="28.5" customHeight="1" x14ac:dyDescent="0.25">
      <c r="A85" s="118" t="s">
        <v>243</v>
      </c>
      <c r="B85" s="118" t="s">
        <v>265</v>
      </c>
      <c r="C85" s="118" t="s">
        <v>94</v>
      </c>
      <c r="D85" s="99" t="s">
        <v>245</v>
      </c>
      <c r="E85" s="2" t="s">
        <v>16</v>
      </c>
      <c r="F85" s="2">
        <v>4</v>
      </c>
      <c r="G85" s="2"/>
      <c r="H85" s="2"/>
      <c r="I85" s="2"/>
      <c r="J85" s="2"/>
      <c r="K85" s="37"/>
      <c r="L85" s="37"/>
      <c r="M85" s="2">
        <v>4</v>
      </c>
      <c r="N85" s="2"/>
      <c r="O85" s="2"/>
      <c r="P85" s="2"/>
      <c r="Q85" s="2"/>
      <c r="R85" s="37"/>
      <c r="S85" s="37"/>
      <c r="T85" s="2">
        <v>4</v>
      </c>
      <c r="U85" s="2"/>
      <c r="V85" s="2"/>
      <c r="W85" s="2"/>
      <c r="X85" s="2"/>
      <c r="Y85" s="37"/>
      <c r="Z85" s="37"/>
      <c r="AA85" s="2">
        <v>4</v>
      </c>
      <c r="AB85" s="2"/>
      <c r="AC85" s="2"/>
      <c r="AD85" s="2"/>
      <c r="AE85" s="2"/>
      <c r="AF85" s="37"/>
      <c r="AG85" s="37"/>
      <c r="AH85" s="125">
        <f>SUM(F85:AF86)</f>
        <v>32</v>
      </c>
      <c r="AI85" s="136" t="s">
        <v>266</v>
      </c>
      <c r="AJ85" s="64"/>
      <c r="AK85" s="64"/>
      <c r="AL85" s="64"/>
      <c r="AM85" s="64"/>
      <c r="AN85" s="64"/>
      <c r="AO85" s="129">
        <v>15</v>
      </c>
      <c r="AP85" s="130" t="s">
        <v>144</v>
      </c>
    </row>
    <row r="86" spans="1:42" s="32" customFormat="1" ht="28.5" customHeight="1" x14ac:dyDescent="0.25">
      <c r="A86" s="118"/>
      <c r="B86" s="118"/>
      <c r="C86" s="118"/>
      <c r="D86" s="100"/>
      <c r="E86" s="2" t="s">
        <v>216</v>
      </c>
      <c r="F86" s="2"/>
      <c r="G86" s="2"/>
      <c r="H86" s="2"/>
      <c r="I86" s="2"/>
      <c r="J86" s="2"/>
      <c r="K86" s="37">
        <v>4</v>
      </c>
      <c r="L86" s="37"/>
      <c r="M86" s="2"/>
      <c r="N86" s="2"/>
      <c r="O86" s="2"/>
      <c r="P86" s="2"/>
      <c r="Q86" s="2"/>
      <c r="R86" s="37">
        <v>4</v>
      </c>
      <c r="S86" s="37"/>
      <c r="T86" s="2"/>
      <c r="U86" s="2"/>
      <c r="V86" s="2"/>
      <c r="W86" s="2"/>
      <c r="X86" s="2"/>
      <c r="Y86" s="37">
        <v>4</v>
      </c>
      <c r="Z86" s="37"/>
      <c r="AA86" s="2"/>
      <c r="AB86" s="2"/>
      <c r="AC86" s="2"/>
      <c r="AD86" s="2"/>
      <c r="AE86" s="2"/>
      <c r="AF86" s="37">
        <v>4</v>
      </c>
      <c r="AG86" s="37"/>
      <c r="AH86" s="125"/>
      <c r="AI86" s="136"/>
      <c r="AJ86" s="64"/>
      <c r="AK86" s="64"/>
      <c r="AL86" s="64"/>
      <c r="AM86" s="64"/>
      <c r="AN86" s="64"/>
      <c r="AO86" s="129"/>
      <c r="AP86" s="130"/>
    </row>
    <row r="87" spans="1:42" s="32" customFormat="1" ht="28.5" customHeight="1" x14ac:dyDescent="0.25">
      <c r="A87" s="118"/>
      <c r="B87" s="36" t="s">
        <v>171</v>
      </c>
      <c r="C87" s="36" t="s">
        <v>31</v>
      </c>
      <c r="D87" s="101"/>
      <c r="E87" s="2" t="s">
        <v>16</v>
      </c>
      <c r="F87" s="2"/>
      <c r="G87" s="2"/>
      <c r="H87" s="2"/>
      <c r="I87" s="2">
        <v>4</v>
      </c>
      <c r="J87" s="2"/>
      <c r="K87" s="37"/>
      <c r="L87" s="37"/>
      <c r="M87" s="2"/>
      <c r="N87" s="2"/>
      <c r="O87" s="2"/>
      <c r="P87" s="2">
        <v>4</v>
      </c>
      <c r="Q87" s="2"/>
      <c r="R87" s="37"/>
      <c r="S87" s="37"/>
      <c r="T87" s="2"/>
      <c r="U87" s="2"/>
      <c r="V87" s="2"/>
      <c r="W87" s="2">
        <v>4</v>
      </c>
      <c r="X87" s="2"/>
      <c r="Y87" s="37"/>
      <c r="Z87" s="37"/>
      <c r="AA87" s="2"/>
      <c r="AB87" s="2"/>
      <c r="AC87" s="2"/>
      <c r="AD87" s="2"/>
      <c r="AE87" s="2">
        <v>4</v>
      </c>
      <c r="AF87" s="37"/>
      <c r="AG87" s="37"/>
      <c r="AH87" s="45">
        <v>16</v>
      </c>
      <c r="AI87" s="2" t="s">
        <v>268</v>
      </c>
      <c r="AJ87" s="64"/>
      <c r="AK87" s="64"/>
      <c r="AL87" s="64"/>
      <c r="AM87" s="64"/>
      <c r="AN87" s="64"/>
      <c r="AO87" s="70"/>
      <c r="AP87" s="71"/>
    </row>
    <row r="88" spans="1:42" ht="27.75" customHeight="1" x14ac:dyDescent="0.3">
      <c r="A88" s="63"/>
      <c r="AB88" s="39" t="s">
        <v>270</v>
      </c>
      <c r="AG88" s="39"/>
    </row>
    <row r="89" spans="1:42" s="29" customFormat="1" x14ac:dyDescent="0.3">
      <c r="A89" s="63"/>
      <c r="B89" s="107" t="s">
        <v>12</v>
      </c>
      <c r="C89" s="107"/>
      <c r="D89" s="5"/>
      <c r="E89" s="29" t="s">
        <v>28</v>
      </c>
      <c r="AB89" s="5" t="s">
        <v>14</v>
      </c>
      <c r="AC89" s="5"/>
      <c r="AG89" s="5"/>
      <c r="AH89" s="4"/>
      <c r="AI89" s="55"/>
    </row>
    <row r="90" spans="1:42" x14ac:dyDescent="0.3">
      <c r="D90" s="4" t="s">
        <v>29</v>
      </c>
      <c r="AB90" s="29"/>
    </row>
    <row r="92" spans="1:42" ht="12.75" customHeight="1" x14ac:dyDescent="0.3"/>
    <row r="93" spans="1:42" ht="12" customHeight="1" x14ac:dyDescent="0.3"/>
    <row r="94" spans="1:42" ht="10.5" customHeight="1" x14ac:dyDescent="0.3"/>
    <row r="95" spans="1:42" x14ac:dyDescent="0.3">
      <c r="E95" s="29" t="s">
        <v>113</v>
      </c>
      <c r="K95" s="29"/>
      <c r="L95" s="29"/>
      <c r="M95" s="29"/>
      <c r="N95" s="29"/>
      <c r="O95" s="29"/>
      <c r="P95" s="29"/>
      <c r="Q95" s="29"/>
      <c r="R95" s="29"/>
      <c r="Y95" s="29" t="s">
        <v>22</v>
      </c>
      <c r="Z95" s="29"/>
      <c r="AA95" s="29"/>
      <c r="AB95" s="29"/>
      <c r="AC95" s="29"/>
      <c r="AD95" s="29"/>
      <c r="AE95" s="29"/>
      <c r="AF95" s="29"/>
      <c r="AG95" s="29"/>
    </row>
    <row r="97" spans="1:35" s="27" customFormat="1" ht="18" hidden="1" customHeight="1" x14ac:dyDescent="0.25">
      <c r="A97" s="108" t="s">
        <v>0</v>
      </c>
      <c r="B97" s="108"/>
      <c r="C97" s="108"/>
      <c r="D97" s="108"/>
      <c r="E97" s="3"/>
      <c r="P97" s="28" t="s">
        <v>1</v>
      </c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43"/>
      <c r="AI97" s="55"/>
    </row>
    <row r="98" spans="1:35" s="27" customFormat="1" ht="16.5" hidden="1" customHeight="1" x14ac:dyDescent="0.25">
      <c r="A98" s="109" t="s">
        <v>2</v>
      </c>
      <c r="B98" s="109"/>
      <c r="C98" s="109"/>
      <c r="D98" s="109"/>
      <c r="E98" s="3"/>
      <c r="L98" s="109" t="s">
        <v>3</v>
      </c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43"/>
      <c r="AI98" s="55"/>
    </row>
    <row r="99" spans="1:35" ht="16.5" hidden="1" customHeight="1" x14ac:dyDescent="0.3"/>
    <row r="100" spans="1:35" ht="16.5" hidden="1" customHeight="1" x14ac:dyDescent="0.3">
      <c r="A100" s="97" t="s">
        <v>20</v>
      </c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</row>
    <row r="101" spans="1:35" ht="16.5" hidden="1" customHeight="1" x14ac:dyDescent="0.3">
      <c r="A101" s="97" t="s">
        <v>24</v>
      </c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</row>
    <row r="102" spans="1:35" ht="16.5" hidden="1" customHeight="1" x14ac:dyDescent="0.3"/>
    <row r="103" spans="1:35" s="32" customFormat="1" ht="16.5" hidden="1" customHeight="1" x14ac:dyDescent="0.25">
      <c r="A103" s="102" t="s">
        <v>4</v>
      </c>
      <c r="B103" s="102" t="s">
        <v>5</v>
      </c>
      <c r="C103" s="103" t="s">
        <v>11</v>
      </c>
      <c r="D103" s="104"/>
      <c r="E103" s="105"/>
      <c r="F103" s="106">
        <v>1</v>
      </c>
      <c r="G103" s="106"/>
      <c r="H103" s="106"/>
      <c r="I103" s="106"/>
      <c r="J103" s="106"/>
      <c r="K103" s="106"/>
      <c r="L103" s="106"/>
      <c r="M103" s="106">
        <v>2</v>
      </c>
      <c r="N103" s="106"/>
      <c r="O103" s="106"/>
      <c r="P103" s="106"/>
      <c r="Q103" s="106"/>
      <c r="R103" s="106"/>
      <c r="S103" s="106"/>
      <c r="T103" s="106">
        <v>3</v>
      </c>
      <c r="U103" s="106"/>
      <c r="V103" s="106"/>
      <c r="W103" s="106"/>
      <c r="X103" s="106"/>
      <c r="Y103" s="106"/>
      <c r="Z103" s="106"/>
      <c r="AA103" s="106">
        <v>4</v>
      </c>
      <c r="AB103" s="106"/>
      <c r="AC103" s="106"/>
      <c r="AD103" s="106"/>
      <c r="AE103" s="106"/>
      <c r="AF103" s="106"/>
      <c r="AG103" s="106"/>
      <c r="AH103" s="104"/>
      <c r="AI103" s="105"/>
    </row>
    <row r="104" spans="1:35" s="32" customFormat="1" ht="16.5" hidden="1" customHeight="1" x14ac:dyDescent="0.25">
      <c r="A104" s="102"/>
      <c r="B104" s="102"/>
      <c r="C104" s="103" t="s">
        <v>10</v>
      </c>
      <c r="D104" s="104"/>
      <c r="E104" s="105"/>
      <c r="F104" s="1">
        <v>30</v>
      </c>
      <c r="G104" s="1">
        <v>1</v>
      </c>
      <c r="H104" s="1">
        <v>2</v>
      </c>
      <c r="I104" s="1">
        <v>3</v>
      </c>
      <c r="J104" s="1">
        <v>4</v>
      </c>
      <c r="K104" s="1">
        <v>5</v>
      </c>
      <c r="L104" s="33">
        <v>6</v>
      </c>
      <c r="M104" s="1">
        <v>7</v>
      </c>
      <c r="N104" s="1">
        <v>8</v>
      </c>
      <c r="O104" s="1">
        <v>9</v>
      </c>
      <c r="P104" s="1">
        <v>10</v>
      </c>
      <c r="Q104" s="1">
        <v>11</v>
      </c>
      <c r="R104" s="33">
        <v>12</v>
      </c>
      <c r="S104" s="33">
        <v>13</v>
      </c>
      <c r="T104" s="1">
        <v>14</v>
      </c>
      <c r="U104" s="1">
        <v>15</v>
      </c>
      <c r="V104" s="1">
        <v>16</v>
      </c>
      <c r="W104" s="1">
        <v>17</v>
      </c>
      <c r="X104" s="1">
        <v>18</v>
      </c>
      <c r="Y104" s="33">
        <v>19</v>
      </c>
      <c r="Z104" s="33">
        <v>20</v>
      </c>
      <c r="AA104" s="1">
        <v>21</v>
      </c>
      <c r="AB104" s="1">
        <v>22</v>
      </c>
      <c r="AC104" s="1">
        <v>23</v>
      </c>
      <c r="AD104" s="1">
        <v>24</v>
      </c>
      <c r="AE104" s="1">
        <v>25</v>
      </c>
      <c r="AF104" s="1">
        <v>26</v>
      </c>
      <c r="AG104" s="1">
        <v>27</v>
      </c>
      <c r="AH104" s="42">
        <v>29</v>
      </c>
      <c r="AI104" s="60">
        <v>30</v>
      </c>
    </row>
    <row r="105" spans="1:35" s="32" customFormat="1" ht="16.5" hidden="1" customHeight="1" x14ac:dyDescent="0.25">
      <c r="A105" s="102"/>
      <c r="B105" s="102"/>
      <c r="C105" s="1" t="s">
        <v>6</v>
      </c>
      <c r="D105" s="1" t="s">
        <v>19</v>
      </c>
      <c r="E105" s="1" t="s">
        <v>18</v>
      </c>
      <c r="F105" s="1">
        <v>2</v>
      </c>
      <c r="G105" s="1">
        <v>3</v>
      </c>
      <c r="H105" s="1">
        <v>4</v>
      </c>
      <c r="I105" s="1">
        <v>5</v>
      </c>
      <c r="J105" s="1">
        <v>6</v>
      </c>
      <c r="K105" s="1">
        <v>7</v>
      </c>
      <c r="L105" s="33" t="s">
        <v>7</v>
      </c>
      <c r="M105" s="1">
        <v>2</v>
      </c>
      <c r="N105" s="1">
        <v>3</v>
      </c>
      <c r="O105" s="1">
        <v>4</v>
      </c>
      <c r="P105" s="1">
        <v>5</v>
      </c>
      <c r="Q105" s="1">
        <v>6</v>
      </c>
      <c r="R105" s="33">
        <v>7</v>
      </c>
      <c r="S105" s="33" t="s">
        <v>7</v>
      </c>
      <c r="T105" s="1">
        <v>2</v>
      </c>
      <c r="U105" s="1">
        <v>3</v>
      </c>
      <c r="V105" s="1">
        <v>4</v>
      </c>
      <c r="W105" s="1">
        <v>5</v>
      </c>
      <c r="X105" s="1">
        <v>6</v>
      </c>
      <c r="Y105" s="33">
        <v>7</v>
      </c>
      <c r="Z105" s="33" t="s">
        <v>7</v>
      </c>
      <c r="AA105" s="1">
        <v>2</v>
      </c>
      <c r="AB105" s="1">
        <v>3</v>
      </c>
      <c r="AC105" s="1">
        <v>4</v>
      </c>
      <c r="AD105" s="1">
        <v>5</v>
      </c>
      <c r="AE105" s="1">
        <v>6</v>
      </c>
      <c r="AF105" s="33">
        <v>7</v>
      </c>
      <c r="AG105" s="33" t="s">
        <v>7</v>
      </c>
      <c r="AH105" s="42">
        <v>3</v>
      </c>
      <c r="AI105" s="60">
        <v>4</v>
      </c>
    </row>
    <row r="106" spans="1:35" s="32" customFormat="1" ht="16.5" hidden="1" customHeight="1" x14ac:dyDescent="0.25">
      <c r="A106" s="99" t="s">
        <v>90</v>
      </c>
      <c r="B106" s="34" t="s">
        <v>26</v>
      </c>
      <c r="C106" s="35" t="s">
        <v>30</v>
      </c>
      <c r="D106" s="36" t="s">
        <v>85</v>
      </c>
      <c r="E106" s="2" t="s">
        <v>15</v>
      </c>
      <c r="F106" s="1">
        <v>4</v>
      </c>
      <c r="G106" s="1">
        <v>4</v>
      </c>
      <c r="H106" s="1"/>
      <c r="I106" s="1"/>
      <c r="J106" s="1"/>
      <c r="K106" s="34"/>
      <c r="L106" s="34"/>
      <c r="M106" s="34">
        <v>4</v>
      </c>
      <c r="N106" s="34"/>
      <c r="O106" s="34"/>
      <c r="P106" s="34"/>
      <c r="Q106" s="34"/>
      <c r="R106" s="34"/>
      <c r="S106" s="34"/>
      <c r="T106" s="34">
        <v>4</v>
      </c>
      <c r="U106" s="34">
        <v>4</v>
      </c>
      <c r="V106" s="34"/>
      <c r="W106" s="34"/>
      <c r="X106" s="34"/>
      <c r="Y106" s="34"/>
      <c r="Z106" s="34"/>
      <c r="AA106" s="34">
        <v>4</v>
      </c>
      <c r="AB106" s="34">
        <v>4</v>
      </c>
      <c r="AC106" s="34"/>
      <c r="AD106" s="34"/>
      <c r="AE106" s="34"/>
      <c r="AF106" s="34"/>
      <c r="AG106" s="34"/>
      <c r="AH106" s="42">
        <v>4</v>
      </c>
      <c r="AI106" s="60"/>
    </row>
    <row r="107" spans="1:35" s="32" customFormat="1" ht="16.5" hidden="1" customHeight="1" x14ac:dyDescent="0.25">
      <c r="A107" s="100"/>
      <c r="B107" s="38" t="s">
        <v>31</v>
      </c>
      <c r="C107" s="35" t="s">
        <v>32</v>
      </c>
      <c r="D107" s="36" t="s">
        <v>85</v>
      </c>
      <c r="E107" s="2" t="s">
        <v>15</v>
      </c>
      <c r="F107" s="1"/>
      <c r="G107" s="1"/>
      <c r="H107" s="1"/>
      <c r="I107" s="1"/>
      <c r="J107" s="1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42"/>
      <c r="AI107" s="60"/>
    </row>
    <row r="108" spans="1:35" s="32" customFormat="1" ht="16.5" hidden="1" customHeight="1" x14ac:dyDescent="0.25">
      <c r="A108" s="100"/>
      <c r="B108" s="38" t="s">
        <v>35</v>
      </c>
      <c r="C108" s="35" t="s">
        <v>36</v>
      </c>
      <c r="D108" s="36" t="s">
        <v>85</v>
      </c>
      <c r="E108" s="2" t="s">
        <v>15</v>
      </c>
      <c r="F108" s="1"/>
      <c r="G108" s="1"/>
      <c r="H108" s="1"/>
      <c r="I108" s="1"/>
      <c r="J108" s="1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42"/>
      <c r="AI108" s="60"/>
    </row>
    <row r="109" spans="1:35" s="32" customFormat="1" ht="16.5" hidden="1" customHeight="1" x14ac:dyDescent="0.25">
      <c r="A109" s="101"/>
      <c r="B109" s="34" t="s">
        <v>26</v>
      </c>
      <c r="C109" s="35" t="s">
        <v>27</v>
      </c>
      <c r="D109" s="36" t="s">
        <v>85</v>
      </c>
      <c r="E109" s="2" t="s">
        <v>37</v>
      </c>
      <c r="F109" s="1">
        <v>1</v>
      </c>
      <c r="G109" s="1"/>
      <c r="H109" s="1"/>
      <c r="I109" s="1"/>
      <c r="J109" s="1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42"/>
      <c r="AI109" s="60"/>
    </row>
    <row r="110" spans="1:35" s="32" customFormat="1" ht="16.5" hidden="1" customHeight="1" x14ac:dyDescent="0.25">
      <c r="A110" s="99" t="s">
        <v>89</v>
      </c>
      <c r="B110" s="34" t="s">
        <v>26</v>
      </c>
      <c r="C110" s="35" t="s">
        <v>30</v>
      </c>
      <c r="D110" s="36" t="s">
        <v>85</v>
      </c>
      <c r="E110" s="2" t="s">
        <v>15</v>
      </c>
      <c r="F110" s="1">
        <v>4</v>
      </c>
      <c r="G110" s="1">
        <v>4</v>
      </c>
      <c r="H110" s="1"/>
      <c r="I110" s="1"/>
      <c r="J110" s="1"/>
      <c r="K110" s="34"/>
      <c r="L110" s="34"/>
      <c r="M110" s="34">
        <v>4</v>
      </c>
      <c r="N110" s="34"/>
      <c r="O110" s="34"/>
      <c r="P110" s="34"/>
      <c r="Q110" s="34"/>
      <c r="R110" s="34"/>
      <c r="S110" s="34"/>
      <c r="T110" s="34">
        <v>4</v>
      </c>
      <c r="U110" s="34">
        <v>4</v>
      </c>
      <c r="V110" s="34"/>
      <c r="W110" s="34"/>
      <c r="X110" s="34"/>
      <c r="Y110" s="34"/>
      <c r="Z110" s="34"/>
      <c r="AA110" s="34">
        <v>4</v>
      </c>
      <c r="AB110" s="34">
        <v>4</v>
      </c>
      <c r="AC110" s="34"/>
      <c r="AD110" s="34"/>
      <c r="AE110" s="34"/>
      <c r="AF110" s="34"/>
      <c r="AG110" s="34"/>
      <c r="AH110" s="42">
        <v>4</v>
      </c>
      <c r="AI110" s="60"/>
    </row>
    <row r="111" spans="1:35" s="32" customFormat="1" ht="16.5" hidden="1" customHeight="1" x14ac:dyDescent="0.25">
      <c r="A111" s="100"/>
      <c r="B111" s="38" t="s">
        <v>31</v>
      </c>
      <c r="C111" s="35" t="s">
        <v>32</v>
      </c>
      <c r="D111" s="36" t="s">
        <v>85</v>
      </c>
      <c r="E111" s="2" t="s">
        <v>15</v>
      </c>
      <c r="F111" s="1"/>
      <c r="G111" s="1"/>
      <c r="H111" s="1"/>
      <c r="I111" s="1"/>
      <c r="J111" s="1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42"/>
      <c r="AI111" s="60"/>
    </row>
    <row r="112" spans="1:35" s="32" customFormat="1" ht="16.5" hidden="1" customHeight="1" x14ac:dyDescent="0.25">
      <c r="A112" s="100"/>
      <c r="B112" s="38" t="s">
        <v>33</v>
      </c>
      <c r="C112" s="35" t="s">
        <v>34</v>
      </c>
      <c r="D112" s="36" t="s">
        <v>92</v>
      </c>
      <c r="E112" s="2" t="s">
        <v>15</v>
      </c>
      <c r="F112" s="1"/>
      <c r="G112" s="1"/>
      <c r="H112" s="1"/>
      <c r="I112" s="1"/>
      <c r="J112" s="1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42"/>
      <c r="AI112" s="60"/>
    </row>
    <row r="113" spans="1:35" s="32" customFormat="1" ht="16.5" hidden="1" customHeight="1" x14ac:dyDescent="0.25">
      <c r="A113" s="101"/>
      <c r="B113" s="34" t="s">
        <v>26</v>
      </c>
      <c r="C113" s="35" t="s">
        <v>27</v>
      </c>
      <c r="D113" s="36" t="s">
        <v>85</v>
      </c>
      <c r="E113" s="2" t="s">
        <v>37</v>
      </c>
      <c r="F113" s="1">
        <v>1</v>
      </c>
      <c r="G113" s="1"/>
      <c r="H113" s="1"/>
      <c r="I113" s="1"/>
      <c r="J113" s="1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42"/>
      <c r="AI113" s="60"/>
    </row>
    <row r="114" spans="1:35" s="32" customFormat="1" ht="16.5" hidden="1" customHeight="1" x14ac:dyDescent="0.25">
      <c r="A114" s="31"/>
      <c r="B114" s="31"/>
      <c r="C114" s="1"/>
      <c r="D114" s="1"/>
      <c r="E114" s="1"/>
      <c r="F114" s="1"/>
      <c r="G114" s="1"/>
      <c r="H114" s="1"/>
      <c r="I114" s="1"/>
      <c r="J114" s="1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42"/>
      <c r="AI114" s="60"/>
    </row>
    <row r="115" spans="1:35" s="32" customFormat="1" ht="16.5" hidden="1" customHeight="1" x14ac:dyDescent="0.25">
      <c r="A115" s="31"/>
      <c r="B115" s="31"/>
      <c r="C115" s="1"/>
      <c r="D115" s="1"/>
      <c r="E115" s="1"/>
      <c r="F115" s="1"/>
      <c r="G115" s="1"/>
      <c r="H115" s="1"/>
      <c r="I115" s="1"/>
      <c r="J115" s="1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42"/>
      <c r="AI115" s="60"/>
    </row>
    <row r="116" spans="1:35" s="32" customFormat="1" ht="16.5" hidden="1" customHeight="1" x14ac:dyDescent="0.25">
      <c r="A116" s="31"/>
      <c r="B116" s="31"/>
      <c r="C116" s="1"/>
      <c r="D116" s="1"/>
      <c r="E116" s="1"/>
      <c r="F116" s="1"/>
      <c r="G116" s="1"/>
      <c r="H116" s="1"/>
      <c r="I116" s="1"/>
      <c r="J116" s="1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42"/>
      <c r="AI116" s="60"/>
    </row>
    <row r="117" spans="1:35" s="32" customFormat="1" ht="16.5" hidden="1" customHeight="1" x14ac:dyDescent="0.25">
      <c r="A117" s="31"/>
      <c r="B117" s="31"/>
      <c r="C117" s="1"/>
      <c r="D117" s="1"/>
      <c r="E117" s="1"/>
      <c r="F117" s="1"/>
      <c r="G117" s="1"/>
      <c r="H117" s="1"/>
      <c r="I117" s="1"/>
      <c r="J117" s="1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42"/>
      <c r="AI117" s="60"/>
    </row>
    <row r="118" spans="1:35" s="32" customFormat="1" ht="16.5" hidden="1" customHeight="1" x14ac:dyDescent="0.25">
      <c r="A118" s="31"/>
      <c r="B118" s="31"/>
      <c r="C118" s="1"/>
      <c r="D118" s="1"/>
      <c r="E118" s="1"/>
      <c r="F118" s="1"/>
      <c r="G118" s="1"/>
      <c r="H118" s="1"/>
      <c r="I118" s="1"/>
      <c r="J118" s="1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42"/>
      <c r="AI118" s="60"/>
    </row>
    <row r="119" spans="1:35" s="32" customFormat="1" ht="16.5" hidden="1" customHeight="1" x14ac:dyDescent="0.25">
      <c r="A119" s="31"/>
      <c r="B119" s="31"/>
      <c r="C119" s="1"/>
      <c r="D119" s="1"/>
      <c r="E119" s="1"/>
      <c r="F119" s="1"/>
      <c r="G119" s="1"/>
      <c r="H119" s="1"/>
      <c r="I119" s="1"/>
      <c r="J119" s="1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42"/>
      <c r="AI119" s="60"/>
    </row>
    <row r="120" spans="1:35" s="32" customFormat="1" ht="16.5" hidden="1" customHeight="1" x14ac:dyDescent="0.25">
      <c r="A120" s="31"/>
      <c r="B120" s="31"/>
      <c r="C120" s="1"/>
      <c r="D120" s="1"/>
      <c r="E120" s="1"/>
      <c r="F120" s="1"/>
      <c r="G120" s="1"/>
      <c r="H120" s="1"/>
      <c r="I120" s="1"/>
      <c r="J120" s="1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42"/>
      <c r="AI120" s="60"/>
    </row>
    <row r="121" spans="1:35" s="32" customFormat="1" ht="16.5" hidden="1" customHeight="1" x14ac:dyDescent="0.25">
      <c r="A121" s="31"/>
      <c r="B121" s="31"/>
      <c r="C121" s="1"/>
      <c r="D121" s="1"/>
      <c r="E121" s="1"/>
      <c r="F121" s="1"/>
      <c r="G121" s="1"/>
      <c r="H121" s="1"/>
      <c r="I121" s="1"/>
      <c r="J121" s="1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42"/>
      <c r="AI121" s="60"/>
    </row>
    <row r="122" spans="1:35" s="32" customFormat="1" ht="16.5" hidden="1" customHeight="1" x14ac:dyDescent="0.25">
      <c r="A122" s="31"/>
      <c r="B122" s="31"/>
      <c r="C122" s="1"/>
      <c r="D122" s="1"/>
      <c r="E122" s="1"/>
      <c r="F122" s="1"/>
      <c r="G122" s="1"/>
      <c r="H122" s="1"/>
      <c r="I122" s="1"/>
      <c r="J122" s="1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42"/>
      <c r="AI122" s="60"/>
    </row>
    <row r="123" spans="1:35" s="32" customFormat="1" ht="16.5" hidden="1" customHeight="1" x14ac:dyDescent="0.25">
      <c r="A123" s="31"/>
      <c r="B123" s="31"/>
      <c r="C123" s="1"/>
      <c r="D123" s="1"/>
      <c r="E123" s="1"/>
      <c r="F123" s="1"/>
      <c r="G123" s="1"/>
      <c r="H123" s="1"/>
      <c r="I123" s="1"/>
      <c r="J123" s="1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42"/>
      <c r="AI123" s="60"/>
    </row>
    <row r="124" spans="1:35" s="32" customFormat="1" ht="16.5" hidden="1" customHeight="1" x14ac:dyDescent="0.25">
      <c r="A124" s="31"/>
      <c r="B124" s="31"/>
      <c r="C124" s="1"/>
      <c r="D124" s="1"/>
      <c r="E124" s="1"/>
      <c r="F124" s="1"/>
      <c r="G124" s="1"/>
      <c r="H124" s="1"/>
      <c r="I124" s="1"/>
      <c r="J124" s="1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42"/>
      <c r="AI124" s="60"/>
    </row>
    <row r="125" spans="1:35" s="32" customFormat="1" ht="16.5" hidden="1" customHeight="1" x14ac:dyDescent="0.25">
      <c r="A125" s="31"/>
      <c r="B125" s="31"/>
      <c r="C125" s="1"/>
      <c r="D125" s="1"/>
      <c r="E125" s="1"/>
      <c r="F125" s="1"/>
      <c r="G125" s="1"/>
      <c r="H125" s="1"/>
      <c r="I125" s="1"/>
      <c r="J125" s="1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42"/>
      <c r="AI125" s="60"/>
    </row>
    <row r="126" spans="1:35" s="32" customFormat="1" ht="16.5" hidden="1" customHeight="1" x14ac:dyDescent="0.25">
      <c r="A126" s="31"/>
      <c r="B126" s="31"/>
      <c r="C126" s="1"/>
      <c r="D126" s="1"/>
      <c r="E126" s="1"/>
      <c r="F126" s="1"/>
      <c r="G126" s="1"/>
      <c r="H126" s="1"/>
      <c r="I126" s="1"/>
      <c r="J126" s="1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42"/>
      <c r="AI126" s="60"/>
    </row>
    <row r="127" spans="1:35" s="32" customFormat="1" ht="16.5" hidden="1" customHeight="1" x14ac:dyDescent="0.25">
      <c r="A127" s="40"/>
      <c r="B127" s="38"/>
      <c r="C127" s="40"/>
      <c r="D127" s="36"/>
      <c r="E127" s="2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2"/>
      <c r="AI127" s="56"/>
    </row>
    <row r="128" spans="1:35" s="32" customFormat="1" ht="16.5" hidden="1" customHeight="1" x14ac:dyDescent="0.25">
      <c r="A128" s="40"/>
      <c r="B128" s="38"/>
      <c r="C128" s="35"/>
      <c r="D128" s="36"/>
      <c r="E128" s="2"/>
      <c r="F128" s="34"/>
      <c r="G128" s="34"/>
      <c r="H128" s="34"/>
      <c r="I128" s="34"/>
      <c r="J128" s="34"/>
      <c r="K128" s="34"/>
      <c r="L128" s="34"/>
      <c r="M128" s="34" t="s">
        <v>9</v>
      </c>
      <c r="N128" s="34"/>
      <c r="O128" s="34"/>
      <c r="P128" s="34"/>
      <c r="Q128" s="34"/>
      <c r="R128" s="34"/>
      <c r="S128" s="34"/>
      <c r="T128" s="34" t="s">
        <v>9</v>
      </c>
      <c r="U128" s="34"/>
      <c r="V128" s="34"/>
      <c r="W128" s="34"/>
      <c r="X128" s="34"/>
      <c r="Y128" s="34"/>
      <c r="Z128" s="34"/>
      <c r="AA128" s="34" t="s">
        <v>9</v>
      </c>
      <c r="AB128" s="34"/>
      <c r="AC128" s="34"/>
      <c r="AD128" s="34"/>
      <c r="AE128" s="34"/>
      <c r="AF128" s="34"/>
      <c r="AG128" s="34"/>
      <c r="AH128" s="2"/>
      <c r="AI128" s="56" t="s">
        <v>9</v>
      </c>
    </row>
    <row r="129" spans="2:35" hidden="1" x14ac:dyDescent="0.3"/>
    <row r="130" spans="2:35" hidden="1" x14ac:dyDescent="0.3">
      <c r="AB130" s="39" t="s">
        <v>21</v>
      </c>
    </row>
    <row r="131" spans="2:35" s="29" customFormat="1" ht="18" hidden="1" customHeight="1" x14ac:dyDescent="0.3">
      <c r="B131" s="110" t="s">
        <v>12</v>
      </c>
      <c r="C131" s="110"/>
      <c r="D131" s="5"/>
      <c r="E131" s="5"/>
      <c r="I131" s="97" t="s">
        <v>13</v>
      </c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AC131" s="5" t="s">
        <v>14</v>
      </c>
      <c r="AH131" s="4"/>
      <c r="AI131" s="55"/>
    </row>
    <row r="132" spans="2:35" hidden="1" x14ac:dyDescent="0.3">
      <c r="AB132" s="29"/>
    </row>
    <row r="133" spans="2:35" hidden="1" x14ac:dyDescent="0.3"/>
    <row r="134" spans="2:35" hidden="1" x14ac:dyDescent="0.3"/>
    <row r="135" spans="2:35" hidden="1" x14ac:dyDescent="0.3"/>
    <row r="136" spans="2:35" hidden="1" x14ac:dyDescent="0.3"/>
    <row r="137" spans="2:35" hidden="1" x14ac:dyDescent="0.3">
      <c r="K137" s="97" t="s">
        <v>23</v>
      </c>
      <c r="L137" s="97"/>
      <c r="M137" s="97"/>
      <c r="N137" s="97"/>
      <c r="O137" s="97"/>
      <c r="P137" s="97"/>
      <c r="Q137" s="97"/>
      <c r="R137" s="97"/>
      <c r="AA137" s="29" t="s">
        <v>22</v>
      </c>
    </row>
  </sheetData>
  <autoFilter ref="A9:AP90" xr:uid="{AA060283-79F1-423C-8911-AFB3FEC45BFB}"/>
  <mergeCells count="139">
    <mergeCell ref="A42:A43"/>
    <mergeCell ref="C42:C43"/>
    <mergeCell ref="A44:A45"/>
    <mergeCell ref="D42:D45"/>
    <mergeCell ref="M7:S7"/>
    <mergeCell ref="T7:Z7"/>
    <mergeCell ref="A26:A30"/>
    <mergeCell ref="A22:A25"/>
    <mergeCell ref="A18:A21"/>
    <mergeCell ref="B46:B47"/>
    <mergeCell ref="C46:C47"/>
    <mergeCell ref="A5:AI5"/>
    <mergeCell ref="A1:D1"/>
    <mergeCell ref="L1:AF1"/>
    <mergeCell ref="A2:D2"/>
    <mergeCell ref="L2:AF2"/>
    <mergeCell ref="A4:AI4"/>
    <mergeCell ref="A31:A35"/>
    <mergeCell ref="A36:A41"/>
    <mergeCell ref="AA7:AG7"/>
    <mergeCell ref="AH7:AH9"/>
    <mergeCell ref="AI7:AI9"/>
    <mergeCell ref="C8:E8"/>
    <mergeCell ref="A10:A14"/>
    <mergeCell ref="A15:A17"/>
    <mergeCell ref="A7:A9"/>
    <mergeCell ref="B7:B9"/>
    <mergeCell ref="C7:E7"/>
    <mergeCell ref="F7:L7"/>
    <mergeCell ref="L98:AG98"/>
    <mergeCell ref="D58:D60"/>
    <mergeCell ref="B61:B63"/>
    <mergeCell ref="C61:C63"/>
    <mergeCell ref="B77:B78"/>
    <mergeCell ref="B80:B81"/>
    <mergeCell ref="B89:C89"/>
    <mergeCell ref="C80:C81"/>
    <mergeCell ref="A97:D97"/>
    <mergeCell ref="A98:D98"/>
    <mergeCell ref="B71:B72"/>
    <mergeCell ref="C71:C72"/>
    <mergeCell ref="B85:B86"/>
    <mergeCell ref="C85:C86"/>
    <mergeCell ref="AO56:AO57"/>
    <mergeCell ref="AP56:AP57"/>
    <mergeCell ref="A54:A57"/>
    <mergeCell ref="D54:D57"/>
    <mergeCell ref="AO54:AO55"/>
    <mergeCell ref="AP54:AP55"/>
    <mergeCell ref="AO61:AO63"/>
    <mergeCell ref="AP61:AP63"/>
    <mergeCell ref="AH61:AH63"/>
    <mergeCell ref="AI61:AI63"/>
    <mergeCell ref="C56:C57"/>
    <mergeCell ref="B56:B57"/>
    <mergeCell ref="K137:R137"/>
    <mergeCell ref="A100:AI100"/>
    <mergeCell ref="A101:AI101"/>
    <mergeCell ref="A103:A105"/>
    <mergeCell ref="B103:B105"/>
    <mergeCell ref="C103:E103"/>
    <mergeCell ref="F103:L103"/>
    <mergeCell ref="M103:S103"/>
    <mergeCell ref="T103:Z103"/>
    <mergeCell ref="AA103:AG103"/>
    <mergeCell ref="AH103:AI103"/>
    <mergeCell ref="C104:E104"/>
    <mergeCell ref="A106:A109"/>
    <mergeCell ref="A110:A113"/>
    <mergeCell ref="B131:C131"/>
    <mergeCell ref="I131:T131"/>
    <mergeCell ref="AH50:AH51"/>
    <mergeCell ref="AH46:AH47"/>
    <mergeCell ref="AH71:AH72"/>
    <mergeCell ref="AI71:AI72"/>
    <mergeCell ref="A67:A70"/>
    <mergeCell ref="B67:B68"/>
    <mergeCell ref="C67:C68"/>
    <mergeCell ref="AH67:AH68"/>
    <mergeCell ref="AI67:AI68"/>
    <mergeCell ref="B69:B70"/>
    <mergeCell ref="C69:C70"/>
    <mergeCell ref="AH69:AH70"/>
    <mergeCell ref="AI69:AI70"/>
    <mergeCell ref="D67:D70"/>
    <mergeCell ref="A58:A59"/>
    <mergeCell ref="A61:A66"/>
    <mergeCell ref="B64:B66"/>
    <mergeCell ref="C64:C66"/>
    <mergeCell ref="D61:D66"/>
    <mergeCell ref="AI64:AI66"/>
    <mergeCell ref="AH64:AH66"/>
    <mergeCell ref="AO85:AO86"/>
    <mergeCell ref="AP85:AP86"/>
    <mergeCell ref="AI56:AI57"/>
    <mergeCell ref="AH56:AH57"/>
    <mergeCell ref="AI82:AI84"/>
    <mergeCell ref="AH82:AH84"/>
    <mergeCell ref="A80:A84"/>
    <mergeCell ref="B75:B76"/>
    <mergeCell ref="C75:C76"/>
    <mergeCell ref="D80:D84"/>
    <mergeCell ref="A71:A76"/>
    <mergeCell ref="D71:D76"/>
    <mergeCell ref="B82:B84"/>
    <mergeCell ref="AH77:AH78"/>
    <mergeCell ref="AI77:AI78"/>
    <mergeCell ref="AH80:AH81"/>
    <mergeCell ref="AI80:AI81"/>
    <mergeCell ref="AH75:AH76"/>
    <mergeCell ref="AI75:AI76"/>
    <mergeCell ref="C73:C74"/>
    <mergeCell ref="A77:A79"/>
    <mergeCell ref="C77:C79"/>
    <mergeCell ref="D77:D79"/>
    <mergeCell ref="C82:C84"/>
    <mergeCell ref="A85:A87"/>
    <mergeCell ref="D85:D87"/>
    <mergeCell ref="A50:A53"/>
    <mergeCell ref="B52:B53"/>
    <mergeCell ref="D46:D53"/>
    <mergeCell ref="C52:C53"/>
    <mergeCell ref="AH52:AH53"/>
    <mergeCell ref="AI52:AI53"/>
    <mergeCell ref="AH85:AH86"/>
    <mergeCell ref="AI85:AI86"/>
    <mergeCell ref="B54:B55"/>
    <mergeCell ref="C54:C55"/>
    <mergeCell ref="AH54:AH55"/>
    <mergeCell ref="AI54:AI55"/>
    <mergeCell ref="A46:A49"/>
    <mergeCell ref="C48:C49"/>
    <mergeCell ref="B48:B49"/>
    <mergeCell ref="AH48:AH49"/>
    <mergeCell ref="AI48:AI49"/>
    <mergeCell ref="AI46:AI47"/>
    <mergeCell ref="B50:B51"/>
    <mergeCell ref="C50:C51"/>
    <mergeCell ref="AI50:AI51"/>
  </mergeCells>
  <phoneticPr fontId="22" type="noConversion"/>
  <pageMargins left="0.2" right="0.1" top="0.511811023622047" bottom="0.511811023622047" header="0.31496062992126" footer="0.31496062992126"/>
  <pageSetup paperSize="9" scale="86" orientation="landscape" verticalDpi="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30BA8-6DBA-41CD-904C-1045BD4CAD57}">
  <dimension ref="A1:AW118"/>
  <sheetViews>
    <sheetView topLeftCell="A39" zoomScale="118" zoomScaleNormal="118" workbookViewId="0">
      <selection activeCell="E54" sqref="E54"/>
    </sheetView>
  </sheetViews>
  <sheetFormatPr defaultRowHeight="18.75" x14ac:dyDescent="0.3"/>
  <cols>
    <col min="1" max="1" width="10.6640625" style="30" customWidth="1"/>
    <col min="2" max="2" width="15.21875" style="30" customWidth="1"/>
    <col min="3" max="3" width="15" style="30" customWidth="1"/>
    <col min="4" max="4" width="7.44140625" style="4" customWidth="1"/>
    <col min="5" max="5" width="6.44140625" style="4" customWidth="1"/>
    <col min="6" max="10" width="2.33203125" style="30" customWidth="1"/>
    <col min="11" max="11" width="2.21875" style="30" customWidth="1"/>
    <col min="12" max="40" width="2.33203125" style="30" customWidth="1"/>
    <col min="41" max="41" width="3.6640625" style="4" customWidth="1"/>
    <col min="42" max="42" width="5.44140625" style="55" customWidth="1"/>
    <col min="43" max="16384" width="8.88671875" style="30"/>
  </cols>
  <sheetData>
    <row r="1" spans="1:43" s="27" customFormat="1" ht="18" customHeight="1" x14ac:dyDescent="0.25">
      <c r="A1" s="98" t="s">
        <v>96</v>
      </c>
      <c r="B1" s="98"/>
      <c r="C1" s="98"/>
      <c r="D1" s="98"/>
      <c r="E1" s="3"/>
      <c r="L1" s="121" t="s">
        <v>1</v>
      </c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28"/>
      <c r="AO1" s="43"/>
      <c r="AP1" s="55"/>
    </row>
    <row r="2" spans="1:43" s="27" customFormat="1" ht="16.5" customHeight="1" x14ac:dyDescent="0.3">
      <c r="A2" s="97" t="s">
        <v>106</v>
      </c>
      <c r="B2" s="97"/>
      <c r="C2" s="97"/>
      <c r="D2" s="97"/>
      <c r="E2" s="3"/>
      <c r="L2" s="97" t="s">
        <v>3</v>
      </c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29"/>
      <c r="AO2" s="43"/>
      <c r="AP2" s="55"/>
    </row>
    <row r="3" spans="1:43" ht="12" customHeight="1" x14ac:dyDescent="0.3"/>
    <row r="4" spans="1:43" ht="18.75" customHeight="1" x14ac:dyDescent="0.3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</row>
    <row r="5" spans="1:43" ht="16.5" customHeight="1" x14ac:dyDescent="0.3">
      <c r="A5" s="97" t="s">
        <v>186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</row>
    <row r="6" spans="1:43" ht="1.5" customHeight="1" x14ac:dyDescent="0.3"/>
    <row r="7" spans="1:43" s="32" customFormat="1" ht="16.5" customHeight="1" x14ac:dyDescent="0.25">
      <c r="A7" s="102" t="s">
        <v>4</v>
      </c>
      <c r="B7" s="102" t="s">
        <v>6</v>
      </c>
      <c r="C7" s="106" t="s">
        <v>11</v>
      </c>
      <c r="D7" s="106"/>
      <c r="E7" s="106"/>
      <c r="F7" s="106">
        <v>1</v>
      </c>
      <c r="G7" s="106"/>
      <c r="H7" s="106"/>
      <c r="I7" s="106"/>
      <c r="J7" s="106"/>
      <c r="K7" s="106"/>
      <c r="L7" s="106"/>
      <c r="M7" s="106">
        <v>2</v>
      </c>
      <c r="N7" s="106"/>
      <c r="O7" s="106"/>
      <c r="P7" s="106"/>
      <c r="Q7" s="106"/>
      <c r="R7" s="106"/>
      <c r="S7" s="106"/>
      <c r="T7" s="106">
        <v>3</v>
      </c>
      <c r="U7" s="106"/>
      <c r="V7" s="106"/>
      <c r="W7" s="106"/>
      <c r="X7" s="106"/>
      <c r="Y7" s="106"/>
      <c r="Z7" s="106"/>
      <c r="AA7" s="103">
        <v>4</v>
      </c>
      <c r="AB7" s="104"/>
      <c r="AC7" s="104"/>
      <c r="AD7" s="104"/>
      <c r="AE7" s="104"/>
      <c r="AF7" s="104"/>
      <c r="AG7" s="105"/>
      <c r="AH7" s="106">
        <v>5</v>
      </c>
      <c r="AI7" s="106"/>
      <c r="AJ7" s="106"/>
      <c r="AK7" s="106"/>
      <c r="AL7" s="106"/>
      <c r="AM7" s="106"/>
      <c r="AN7" s="106"/>
      <c r="AO7" s="119" t="s">
        <v>8</v>
      </c>
      <c r="AP7" s="120" t="s">
        <v>41</v>
      </c>
    </row>
    <row r="8" spans="1:43" s="32" customFormat="1" ht="16.5" customHeight="1" x14ac:dyDescent="0.25">
      <c r="A8" s="102"/>
      <c r="B8" s="102"/>
      <c r="C8" s="106" t="s">
        <v>10</v>
      </c>
      <c r="D8" s="106"/>
      <c r="E8" s="106"/>
      <c r="F8" s="1">
        <v>30</v>
      </c>
      <c r="G8" s="1">
        <v>1</v>
      </c>
      <c r="H8" s="1">
        <v>2</v>
      </c>
      <c r="I8" s="1">
        <v>3</v>
      </c>
      <c r="J8" s="1">
        <v>4</v>
      </c>
      <c r="K8" s="1">
        <v>5</v>
      </c>
      <c r="L8" s="1">
        <v>6</v>
      </c>
      <c r="M8" s="1">
        <v>7</v>
      </c>
      <c r="N8" s="1">
        <v>8</v>
      </c>
      <c r="O8" s="1">
        <v>9</v>
      </c>
      <c r="P8" s="1">
        <v>10</v>
      </c>
      <c r="Q8" s="1">
        <v>11</v>
      </c>
      <c r="R8" s="1">
        <v>12</v>
      </c>
      <c r="S8" s="1">
        <v>13</v>
      </c>
      <c r="T8" s="1">
        <v>14</v>
      </c>
      <c r="U8" s="1">
        <v>15</v>
      </c>
      <c r="V8" s="1">
        <v>16</v>
      </c>
      <c r="W8" s="1">
        <v>17</v>
      </c>
      <c r="X8" s="1">
        <v>18</v>
      </c>
      <c r="Y8" s="1">
        <v>19</v>
      </c>
      <c r="Z8" s="1">
        <v>20</v>
      </c>
      <c r="AA8" s="1">
        <v>21</v>
      </c>
      <c r="AB8" s="1">
        <v>22</v>
      </c>
      <c r="AC8" s="1">
        <v>23</v>
      </c>
      <c r="AD8" s="1">
        <v>24</v>
      </c>
      <c r="AE8" s="1">
        <v>25</v>
      </c>
      <c r="AF8" s="1">
        <v>26</v>
      </c>
      <c r="AG8" s="1">
        <v>27</v>
      </c>
      <c r="AH8" s="1">
        <v>28</v>
      </c>
      <c r="AI8" s="1">
        <v>29</v>
      </c>
      <c r="AJ8" s="1">
        <v>30</v>
      </c>
      <c r="AK8" s="1">
        <v>31</v>
      </c>
      <c r="AL8" s="1">
        <v>1</v>
      </c>
      <c r="AM8" s="1">
        <v>2</v>
      </c>
      <c r="AN8" s="1">
        <v>3</v>
      </c>
      <c r="AO8" s="119"/>
      <c r="AP8" s="120"/>
    </row>
    <row r="9" spans="1:43" s="32" customFormat="1" ht="16.5" customHeight="1" x14ac:dyDescent="0.25">
      <c r="A9" s="102"/>
      <c r="B9" s="102"/>
      <c r="C9" s="1" t="s">
        <v>5</v>
      </c>
      <c r="D9" s="1" t="s">
        <v>19</v>
      </c>
      <c r="E9" s="1" t="s">
        <v>18</v>
      </c>
      <c r="F9" s="1">
        <v>2</v>
      </c>
      <c r="G9" s="1">
        <v>3</v>
      </c>
      <c r="H9" s="1">
        <v>4</v>
      </c>
      <c r="I9" s="1">
        <v>5</v>
      </c>
      <c r="J9" s="1">
        <v>6</v>
      </c>
      <c r="K9" s="33">
        <v>7</v>
      </c>
      <c r="L9" s="33" t="s">
        <v>7</v>
      </c>
      <c r="M9" s="1">
        <v>2</v>
      </c>
      <c r="N9" s="1">
        <v>3</v>
      </c>
      <c r="O9" s="1">
        <v>4</v>
      </c>
      <c r="P9" s="1">
        <v>5</v>
      </c>
      <c r="Q9" s="1">
        <v>6</v>
      </c>
      <c r="R9" s="33">
        <v>7</v>
      </c>
      <c r="S9" s="33" t="s">
        <v>7</v>
      </c>
      <c r="T9" s="1">
        <v>2</v>
      </c>
      <c r="U9" s="1">
        <v>3</v>
      </c>
      <c r="V9" s="1">
        <v>4</v>
      </c>
      <c r="W9" s="1">
        <v>5</v>
      </c>
      <c r="X9" s="1">
        <v>6</v>
      </c>
      <c r="Y9" s="33">
        <v>7</v>
      </c>
      <c r="Z9" s="33" t="s">
        <v>7</v>
      </c>
      <c r="AA9" s="1">
        <v>2</v>
      </c>
      <c r="AB9" s="1">
        <v>3</v>
      </c>
      <c r="AC9" s="1">
        <v>4</v>
      </c>
      <c r="AD9" s="1">
        <v>5</v>
      </c>
      <c r="AE9" s="1">
        <v>6</v>
      </c>
      <c r="AF9" s="33">
        <v>7</v>
      </c>
      <c r="AG9" s="33" t="s">
        <v>7</v>
      </c>
      <c r="AH9" s="1">
        <v>2</v>
      </c>
      <c r="AI9" s="1">
        <v>3</v>
      </c>
      <c r="AJ9" s="1">
        <v>4</v>
      </c>
      <c r="AK9" s="1">
        <v>5</v>
      </c>
      <c r="AL9" s="33">
        <v>6</v>
      </c>
      <c r="AM9" s="33">
        <v>7</v>
      </c>
      <c r="AN9" s="33" t="s">
        <v>7</v>
      </c>
      <c r="AO9" s="119"/>
      <c r="AP9" s="120"/>
    </row>
    <row r="10" spans="1:43" s="32" customFormat="1" ht="47.25" customHeight="1" x14ac:dyDescent="0.25">
      <c r="A10" s="99" t="s">
        <v>118</v>
      </c>
      <c r="B10" s="40" t="s">
        <v>129</v>
      </c>
      <c r="C10" s="38" t="s">
        <v>31</v>
      </c>
      <c r="D10" s="36" t="s">
        <v>107</v>
      </c>
      <c r="E10" s="2" t="s">
        <v>16</v>
      </c>
      <c r="F10" s="2">
        <v>4</v>
      </c>
      <c r="G10" s="2"/>
      <c r="H10" s="72"/>
      <c r="I10" s="74"/>
      <c r="J10" s="74"/>
      <c r="K10" s="75"/>
      <c r="L10" s="75"/>
      <c r="M10" s="2">
        <v>4</v>
      </c>
      <c r="N10" s="2"/>
      <c r="O10" s="72"/>
      <c r="P10" s="74"/>
      <c r="Q10" s="74"/>
      <c r="R10" s="75"/>
      <c r="S10" s="75"/>
      <c r="T10" s="2">
        <v>4</v>
      </c>
      <c r="U10" s="2"/>
      <c r="V10" s="72"/>
      <c r="W10" s="74"/>
      <c r="X10" s="74"/>
      <c r="Y10" s="75"/>
      <c r="Z10" s="75"/>
      <c r="AA10" s="2">
        <v>4</v>
      </c>
      <c r="AB10" s="74"/>
      <c r="AC10" s="74"/>
      <c r="AD10" s="74"/>
      <c r="AE10" s="74"/>
      <c r="AF10" s="75"/>
      <c r="AG10" s="75"/>
      <c r="AH10" s="2">
        <v>4</v>
      </c>
      <c r="AI10" s="2"/>
      <c r="AJ10" s="72"/>
      <c r="AK10" s="74"/>
      <c r="AL10" s="33"/>
      <c r="AM10" s="33"/>
      <c r="AN10" s="33"/>
      <c r="AO10" s="45">
        <f t="shared" ref="AO10:AO42" si="0">SUM(F10:AN10)</f>
        <v>20</v>
      </c>
      <c r="AP10" s="56" t="s">
        <v>210</v>
      </c>
      <c r="AQ10" s="32">
        <f>16+28</f>
        <v>44</v>
      </c>
    </row>
    <row r="11" spans="1:43" s="32" customFormat="1" ht="36" customHeight="1" x14ac:dyDescent="0.25">
      <c r="A11" s="100"/>
      <c r="B11" s="40" t="s">
        <v>209</v>
      </c>
      <c r="C11" s="38" t="s">
        <v>35</v>
      </c>
      <c r="D11" s="36" t="s">
        <v>107</v>
      </c>
      <c r="E11" s="2" t="s">
        <v>16</v>
      </c>
      <c r="F11" s="2"/>
      <c r="G11" s="2">
        <v>5</v>
      </c>
      <c r="H11" s="2"/>
      <c r="I11" s="74"/>
      <c r="J11" s="74"/>
      <c r="K11" s="76"/>
      <c r="L11" s="76"/>
      <c r="M11" s="2"/>
      <c r="N11" s="2">
        <v>5</v>
      </c>
      <c r="O11" s="2"/>
      <c r="P11" s="74"/>
      <c r="Q11" s="74"/>
      <c r="R11" s="76"/>
      <c r="S11" s="76"/>
      <c r="T11" s="2"/>
      <c r="U11" s="2">
        <v>5</v>
      </c>
      <c r="V11" s="2"/>
      <c r="W11" s="74"/>
      <c r="X11" s="74"/>
      <c r="Y11" s="76"/>
      <c r="Z11" s="76"/>
      <c r="AA11" s="2"/>
      <c r="AB11" s="2">
        <v>5</v>
      </c>
      <c r="AC11" s="2"/>
      <c r="AD11" s="74"/>
      <c r="AE11" s="74"/>
      <c r="AF11" s="76"/>
      <c r="AG11" s="76"/>
      <c r="AH11" s="2"/>
      <c r="AI11" s="2"/>
      <c r="AJ11" s="2"/>
      <c r="AK11" s="74"/>
      <c r="AL11" s="66"/>
      <c r="AM11" s="33"/>
      <c r="AN11" s="33"/>
      <c r="AO11" s="45">
        <f t="shared" si="0"/>
        <v>20</v>
      </c>
      <c r="AP11" s="61" t="s">
        <v>108</v>
      </c>
    </row>
    <row r="12" spans="1:43" s="32" customFormat="1" ht="33" customHeight="1" x14ac:dyDescent="0.25">
      <c r="A12" s="100"/>
      <c r="B12" s="40" t="s">
        <v>211</v>
      </c>
      <c r="C12" s="38" t="s">
        <v>207</v>
      </c>
      <c r="D12" s="36" t="s">
        <v>107</v>
      </c>
      <c r="E12" s="2" t="s">
        <v>16</v>
      </c>
      <c r="F12" s="2"/>
      <c r="G12" s="2"/>
      <c r="H12" s="2">
        <v>5</v>
      </c>
      <c r="I12" s="2">
        <v>5</v>
      </c>
      <c r="J12" s="2"/>
      <c r="K12" s="77"/>
      <c r="L12" s="77"/>
      <c r="M12" s="2"/>
      <c r="N12" s="2"/>
      <c r="O12" s="2">
        <v>5</v>
      </c>
      <c r="P12" s="2">
        <v>5</v>
      </c>
      <c r="Q12" s="2"/>
      <c r="R12" s="77"/>
      <c r="S12" s="77"/>
      <c r="T12" s="2"/>
      <c r="U12" s="2"/>
      <c r="V12" s="2">
        <v>5</v>
      </c>
      <c r="W12" s="2">
        <v>5</v>
      </c>
      <c r="X12" s="2"/>
      <c r="Y12" s="77"/>
      <c r="Z12" s="77"/>
      <c r="AA12" s="2"/>
      <c r="AB12" s="2"/>
      <c r="AC12" s="2"/>
      <c r="AD12" s="2"/>
      <c r="AE12" s="2"/>
      <c r="AF12" s="77"/>
      <c r="AG12" s="77"/>
      <c r="AH12" s="2"/>
      <c r="AI12" s="2"/>
      <c r="AJ12" s="2"/>
      <c r="AK12" s="72"/>
      <c r="AL12" s="33"/>
      <c r="AM12" s="33"/>
      <c r="AN12" s="33"/>
      <c r="AO12" s="45">
        <f t="shared" si="0"/>
        <v>30</v>
      </c>
      <c r="AP12" s="57" t="s">
        <v>174</v>
      </c>
      <c r="AQ12" s="32">
        <f>16+24</f>
        <v>40</v>
      </c>
    </row>
    <row r="13" spans="1:43" s="32" customFormat="1" ht="33" customHeight="1" x14ac:dyDescent="0.25">
      <c r="A13" s="100"/>
      <c r="B13" s="40" t="s">
        <v>212</v>
      </c>
      <c r="C13" s="38" t="s">
        <v>207</v>
      </c>
      <c r="D13" s="36" t="s">
        <v>107</v>
      </c>
      <c r="E13" s="2" t="s">
        <v>16</v>
      </c>
      <c r="F13" s="2"/>
      <c r="G13" s="2"/>
      <c r="H13" s="2"/>
      <c r="I13" s="2"/>
      <c r="J13" s="2"/>
      <c r="K13" s="77"/>
      <c r="L13" s="77"/>
      <c r="M13" s="2"/>
      <c r="N13" s="2"/>
      <c r="O13" s="2"/>
      <c r="P13" s="2"/>
      <c r="Q13" s="2"/>
      <c r="R13" s="77"/>
      <c r="S13" s="77"/>
      <c r="T13" s="2"/>
      <c r="U13" s="2"/>
      <c r="V13" s="2"/>
      <c r="W13" s="2"/>
      <c r="X13" s="2"/>
      <c r="Y13" s="77"/>
      <c r="Z13" s="77"/>
      <c r="AA13" s="2"/>
      <c r="AB13" s="2"/>
      <c r="AC13" s="2">
        <v>5</v>
      </c>
      <c r="AD13" s="2">
        <v>5</v>
      </c>
      <c r="AE13" s="2"/>
      <c r="AF13" s="77"/>
      <c r="AG13" s="77"/>
      <c r="AH13" s="2"/>
      <c r="AI13" s="2">
        <v>5</v>
      </c>
      <c r="AJ13" s="2">
        <v>5</v>
      </c>
      <c r="AK13" s="2"/>
      <c r="AL13" s="33"/>
      <c r="AM13" s="33"/>
      <c r="AN13" s="33"/>
      <c r="AO13" s="45">
        <f t="shared" si="0"/>
        <v>20</v>
      </c>
      <c r="AP13" s="57" t="s">
        <v>150</v>
      </c>
    </row>
    <row r="14" spans="1:43" s="32" customFormat="1" ht="29.25" customHeight="1" x14ac:dyDescent="0.25">
      <c r="A14" s="101"/>
      <c r="B14" s="35" t="s">
        <v>27</v>
      </c>
      <c r="C14" s="38" t="s">
        <v>31</v>
      </c>
      <c r="D14" s="36" t="s">
        <v>107</v>
      </c>
      <c r="E14" s="2" t="s">
        <v>132</v>
      </c>
      <c r="F14" s="73"/>
      <c r="G14" s="74"/>
      <c r="H14" s="74"/>
      <c r="I14" s="72">
        <v>1</v>
      </c>
      <c r="J14" s="72"/>
      <c r="K14" s="76"/>
      <c r="L14" s="76"/>
      <c r="M14" s="72">
        <v>1</v>
      </c>
      <c r="N14" s="72"/>
      <c r="O14" s="72"/>
      <c r="P14" s="72"/>
      <c r="Q14" s="72"/>
      <c r="R14" s="76"/>
      <c r="S14" s="76"/>
      <c r="T14" s="72">
        <v>1</v>
      </c>
      <c r="U14" s="72"/>
      <c r="V14" s="72"/>
      <c r="W14" s="74"/>
      <c r="X14" s="74"/>
      <c r="Y14" s="75"/>
      <c r="Z14" s="75"/>
      <c r="AA14" s="74"/>
      <c r="AB14" s="74"/>
      <c r="AC14" s="74"/>
      <c r="AD14" s="74"/>
      <c r="AE14" s="74"/>
      <c r="AF14" s="75"/>
      <c r="AG14" s="75"/>
      <c r="AH14" s="74"/>
      <c r="AI14" s="74"/>
      <c r="AJ14" s="74"/>
      <c r="AK14" s="74"/>
      <c r="AL14" s="33"/>
      <c r="AM14" s="33"/>
      <c r="AN14" s="33"/>
      <c r="AO14" s="45">
        <f t="shared" si="0"/>
        <v>3</v>
      </c>
      <c r="AP14" s="56"/>
    </row>
    <row r="15" spans="1:43" s="32" customFormat="1" ht="27" customHeight="1" x14ac:dyDescent="0.25">
      <c r="A15" s="99" t="s">
        <v>97</v>
      </c>
      <c r="B15" s="40" t="s">
        <v>158</v>
      </c>
      <c r="C15" s="38" t="s">
        <v>35</v>
      </c>
      <c r="D15" s="36" t="s">
        <v>107</v>
      </c>
      <c r="E15" s="2" t="s">
        <v>228</v>
      </c>
      <c r="F15" s="2">
        <v>5</v>
      </c>
      <c r="G15" s="2"/>
      <c r="H15" s="42"/>
      <c r="I15" s="42"/>
      <c r="J15" s="42"/>
      <c r="K15" s="37"/>
      <c r="L15" s="37"/>
      <c r="M15" s="2">
        <v>5</v>
      </c>
      <c r="N15" s="2"/>
      <c r="O15" s="42"/>
      <c r="P15" s="42"/>
      <c r="Q15" s="42"/>
      <c r="R15" s="37"/>
      <c r="S15" s="37"/>
      <c r="T15" s="2">
        <v>5</v>
      </c>
      <c r="U15" s="2"/>
      <c r="V15" s="42"/>
      <c r="W15" s="42"/>
      <c r="X15" s="42"/>
      <c r="Y15" s="37"/>
      <c r="Z15" s="37"/>
      <c r="AA15" s="2">
        <v>5</v>
      </c>
      <c r="AB15" s="2"/>
      <c r="AC15" s="42"/>
      <c r="AD15" s="42"/>
      <c r="AE15" s="42"/>
      <c r="AF15" s="37"/>
      <c r="AG15" s="37"/>
      <c r="AH15" s="2">
        <v>5</v>
      </c>
      <c r="AI15" s="2"/>
      <c r="AJ15" s="42"/>
      <c r="AK15" s="42"/>
      <c r="AL15" s="33"/>
      <c r="AM15" s="37"/>
      <c r="AN15" s="37"/>
      <c r="AO15" s="45">
        <f t="shared" si="0"/>
        <v>25</v>
      </c>
      <c r="AP15" s="58" t="s">
        <v>108</v>
      </c>
    </row>
    <row r="16" spans="1:43" s="32" customFormat="1" ht="27" customHeight="1" x14ac:dyDescent="0.25">
      <c r="A16" s="100"/>
      <c r="B16" s="38" t="s">
        <v>30</v>
      </c>
      <c r="C16" s="38" t="s">
        <v>26</v>
      </c>
      <c r="D16" s="36" t="s">
        <v>107</v>
      </c>
      <c r="E16" s="2" t="s">
        <v>17</v>
      </c>
      <c r="F16" s="2"/>
      <c r="G16" s="2">
        <v>4</v>
      </c>
      <c r="H16" s="2">
        <v>4</v>
      </c>
      <c r="I16" s="2"/>
      <c r="J16" s="2"/>
      <c r="K16" s="37"/>
      <c r="L16" s="37"/>
      <c r="M16" s="2"/>
      <c r="N16" s="2">
        <v>4</v>
      </c>
      <c r="O16" s="2">
        <v>4</v>
      </c>
      <c r="P16" s="2"/>
      <c r="Q16" s="2"/>
      <c r="R16" s="37"/>
      <c r="S16" s="37"/>
      <c r="T16" s="2"/>
      <c r="U16" s="2">
        <v>4</v>
      </c>
      <c r="V16" s="2">
        <v>4</v>
      </c>
      <c r="W16" s="2"/>
      <c r="X16" s="2"/>
      <c r="Y16" s="37"/>
      <c r="Z16" s="37"/>
      <c r="AA16" s="2"/>
      <c r="AB16" s="2"/>
      <c r="AC16" s="2"/>
      <c r="AD16" s="2"/>
      <c r="AE16" s="2"/>
      <c r="AF16" s="37"/>
      <c r="AG16" s="37"/>
      <c r="AH16" s="2"/>
      <c r="AI16" s="2"/>
      <c r="AJ16" s="2"/>
      <c r="AK16" s="2"/>
      <c r="AL16" s="33"/>
      <c r="AM16" s="37"/>
      <c r="AN16" s="37"/>
      <c r="AO16" s="45">
        <f t="shared" si="0"/>
        <v>24</v>
      </c>
      <c r="AP16" s="58" t="s">
        <v>225</v>
      </c>
      <c r="AQ16" s="32">
        <v>120</v>
      </c>
    </row>
    <row r="17" spans="1:42" s="32" customFormat="1" ht="27" customHeight="1" x14ac:dyDescent="0.25">
      <c r="A17" s="100"/>
      <c r="B17" s="38" t="s">
        <v>32</v>
      </c>
      <c r="C17" s="38" t="s">
        <v>31</v>
      </c>
      <c r="D17" s="36" t="s">
        <v>107</v>
      </c>
      <c r="E17" s="2" t="s">
        <v>228</v>
      </c>
      <c r="F17" s="2"/>
      <c r="G17" s="2"/>
      <c r="H17" s="42"/>
      <c r="I17" s="42">
        <v>5</v>
      </c>
      <c r="J17" s="42"/>
      <c r="K17" s="66"/>
      <c r="L17" s="66"/>
      <c r="M17" s="2"/>
      <c r="N17" s="2"/>
      <c r="O17" s="42"/>
      <c r="P17" s="42">
        <v>5</v>
      </c>
      <c r="Q17" s="42"/>
      <c r="R17" s="66"/>
      <c r="S17" s="66"/>
      <c r="T17" s="2"/>
      <c r="U17" s="2"/>
      <c r="V17" s="42"/>
      <c r="W17" s="42">
        <v>5</v>
      </c>
      <c r="X17" s="42"/>
      <c r="Y17" s="66"/>
      <c r="Z17" s="66"/>
      <c r="AA17" s="42"/>
      <c r="AB17" s="42"/>
      <c r="AC17" s="42">
        <v>5</v>
      </c>
      <c r="AD17" s="42"/>
      <c r="AE17" s="42"/>
      <c r="AF17" s="66"/>
      <c r="AG17" s="66"/>
      <c r="AH17" s="2"/>
      <c r="AI17" s="2"/>
      <c r="AJ17" s="42">
        <v>5</v>
      </c>
      <c r="AK17" s="42"/>
      <c r="AL17" s="66"/>
      <c r="AM17" s="37"/>
      <c r="AN17" s="37"/>
      <c r="AO17" s="45">
        <f t="shared" si="0"/>
        <v>25</v>
      </c>
      <c r="AP17" s="58" t="s">
        <v>226</v>
      </c>
    </row>
    <row r="18" spans="1:42" s="32" customFormat="1" ht="27" customHeight="1" x14ac:dyDescent="0.25">
      <c r="A18" s="100"/>
      <c r="B18" s="131" t="s">
        <v>227</v>
      </c>
      <c r="C18" s="111" t="s">
        <v>35</v>
      </c>
      <c r="D18" s="99" t="s">
        <v>107</v>
      </c>
      <c r="E18" s="2" t="s">
        <v>17</v>
      </c>
      <c r="F18" s="2"/>
      <c r="G18" s="2"/>
      <c r="H18" s="42"/>
      <c r="I18" s="42"/>
      <c r="J18" s="42"/>
      <c r="K18" s="66"/>
      <c r="L18" s="66"/>
      <c r="M18" s="2"/>
      <c r="N18" s="2"/>
      <c r="O18" s="42"/>
      <c r="P18" s="42"/>
      <c r="Q18" s="42"/>
      <c r="R18" s="66"/>
      <c r="S18" s="66"/>
      <c r="T18" s="2"/>
      <c r="U18" s="2"/>
      <c r="V18" s="42"/>
      <c r="W18" s="42"/>
      <c r="X18" s="42"/>
      <c r="Y18" s="66"/>
      <c r="Z18" s="66"/>
      <c r="AA18" s="42"/>
      <c r="AB18" s="42">
        <v>4</v>
      </c>
      <c r="AC18" s="42"/>
      <c r="AD18" s="42"/>
      <c r="AE18" s="42"/>
      <c r="AF18" s="66"/>
      <c r="AG18" s="66"/>
      <c r="AH18" s="2"/>
      <c r="AI18" s="42">
        <v>4</v>
      </c>
      <c r="AJ18" s="42"/>
      <c r="AK18" s="42"/>
      <c r="AL18" s="66"/>
      <c r="AM18" s="37"/>
      <c r="AN18" s="37"/>
      <c r="AO18" s="113">
        <f>SUM(G18:AL19)</f>
        <v>16</v>
      </c>
      <c r="AP18" s="117" t="s">
        <v>112</v>
      </c>
    </row>
    <row r="19" spans="1:42" s="32" customFormat="1" ht="27" customHeight="1" x14ac:dyDescent="0.25">
      <c r="A19" s="100"/>
      <c r="B19" s="132"/>
      <c r="C19" s="112"/>
      <c r="D19" s="101"/>
      <c r="E19" s="2" t="s">
        <v>16</v>
      </c>
      <c r="F19" s="2"/>
      <c r="G19" s="2"/>
      <c r="H19" s="42"/>
      <c r="I19" s="42"/>
      <c r="J19" s="42"/>
      <c r="K19" s="66"/>
      <c r="L19" s="66"/>
      <c r="M19" s="2"/>
      <c r="N19" s="2"/>
      <c r="O19" s="42"/>
      <c r="P19" s="42"/>
      <c r="Q19" s="42"/>
      <c r="R19" s="66"/>
      <c r="S19" s="66"/>
      <c r="T19" s="2"/>
      <c r="U19" s="2"/>
      <c r="V19" s="42"/>
      <c r="W19" s="42"/>
      <c r="X19" s="42"/>
      <c r="Y19" s="66"/>
      <c r="Z19" s="66"/>
      <c r="AA19" s="42"/>
      <c r="AB19" s="42">
        <v>4</v>
      </c>
      <c r="AC19" s="42"/>
      <c r="AD19" s="42"/>
      <c r="AE19" s="42"/>
      <c r="AF19" s="66"/>
      <c r="AG19" s="66"/>
      <c r="AH19" s="2"/>
      <c r="AI19" s="42">
        <v>4</v>
      </c>
      <c r="AJ19" s="42"/>
      <c r="AK19" s="42"/>
      <c r="AL19" s="66"/>
      <c r="AM19" s="37"/>
      <c r="AN19" s="37"/>
      <c r="AO19" s="114"/>
      <c r="AP19" s="146"/>
    </row>
    <row r="20" spans="1:42" s="32" customFormat="1" ht="27" customHeight="1" x14ac:dyDescent="0.25">
      <c r="A20" s="101"/>
      <c r="B20" s="38" t="s">
        <v>101</v>
      </c>
      <c r="C20" s="38" t="s">
        <v>95</v>
      </c>
      <c r="D20" s="36" t="s">
        <v>107</v>
      </c>
      <c r="E20" s="2" t="s">
        <v>116</v>
      </c>
      <c r="F20" s="2">
        <v>1</v>
      </c>
      <c r="G20" s="2"/>
      <c r="H20" s="2"/>
      <c r="I20" s="2"/>
      <c r="J20" s="2"/>
      <c r="K20" s="37"/>
      <c r="L20" s="37"/>
      <c r="M20" s="2">
        <v>1</v>
      </c>
      <c r="N20" s="2"/>
      <c r="O20" s="2"/>
      <c r="P20" s="2"/>
      <c r="Q20" s="2"/>
      <c r="R20" s="37"/>
      <c r="S20" s="37"/>
      <c r="T20" s="2">
        <v>1</v>
      </c>
      <c r="U20" s="2"/>
      <c r="V20" s="2"/>
      <c r="W20" s="2"/>
      <c r="X20" s="2"/>
      <c r="Y20" s="37"/>
      <c r="Z20" s="37"/>
      <c r="AA20" s="2"/>
      <c r="AB20" s="2"/>
      <c r="AC20" s="2"/>
      <c r="AD20" s="2"/>
      <c r="AE20" s="2"/>
      <c r="AF20" s="37"/>
      <c r="AG20" s="37"/>
      <c r="AH20" s="2">
        <v>1</v>
      </c>
      <c r="AI20" s="2"/>
      <c r="AJ20" s="2"/>
      <c r="AK20" s="2"/>
      <c r="AL20" s="37"/>
      <c r="AM20" s="37"/>
      <c r="AN20" s="37"/>
      <c r="AO20" s="45">
        <f t="shared" si="0"/>
        <v>4</v>
      </c>
      <c r="AP20" s="58"/>
    </row>
    <row r="21" spans="1:42" s="32" customFormat="1" ht="29.25" customHeight="1" x14ac:dyDescent="0.25">
      <c r="A21" s="99" t="s">
        <v>98</v>
      </c>
      <c r="B21" s="40" t="s">
        <v>158</v>
      </c>
      <c r="C21" s="38" t="s">
        <v>35</v>
      </c>
      <c r="D21" s="36" t="s">
        <v>107</v>
      </c>
      <c r="E21" s="2" t="s">
        <v>228</v>
      </c>
      <c r="F21" s="2">
        <v>5</v>
      </c>
      <c r="G21" s="2"/>
      <c r="H21" s="42"/>
      <c r="I21" s="42"/>
      <c r="J21" s="42"/>
      <c r="K21" s="37"/>
      <c r="L21" s="37"/>
      <c r="M21" s="2">
        <v>5</v>
      </c>
      <c r="N21" s="2"/>
      <c r="O21" s="42"/>
      <c r="P21" s="42"/>
      <c r="Q21" s="42"/>
      <c r="R21" s="37"/>
      <c r="S21" s="37"/>
      <c r="T21" s="2">
        <v>5</v>
      </c>
      <c r="U21" s="2"/>
      <c r="V21" s="42"/>
      <c r="W21" s="42"/>
      <c r="X21" s="42"/>
      <c r="Y21" s="37"/>
      <c r="Z21" s="37"/>
      <c r="AA21" s="2">
        <v>5</v>
      </c>
      <c r="AB21" s="2"/>
      <c r="AC21" s="42"/>
      <c r="AD21" s="42"/>
      <c r="AE21" s="42"/>
      <c r="AF21" s="37"/>
      <c r="AG21" s="37"/>
      <c r="AH21" s="2">
        <v>5</v>
      </c>
      <c r="AI21" s="2"/>
      <c r="AJ21" s="42"/>
      <c r="AK21" s="42"/>
      <c r="AL21" s="37"/>
      <c r="AM21" s="37"/>
      <c r="AN21" s="37"/>
      <c r="AO21" s="45">
        <f t="shared" si="0"/>
        <v>25</v>
      </c>
      <c r="AP21" s="59" t="str">
        <f>AP15</f>
        <v>45/45</v>
      </c>
    </row>
    <row r="22" spans="1:42" s="32" customFormat="1" ht="29.25" customHeight="1" x14ac:dyDescent="0.25">
      <c r="A22" s="100"/>
      <c r="B22" s="38" t="s">
        <v>30</v>
      </c>
      <c r="C22" s="38" t="s">
        <v>26</v>
      </c>
      <c r="D22" s="36" t="s">
        <v>107</v>
      </c>
      <c r="E22" s="2" t="s">
        <v>17</v>
      </c>
      <c r="F22" s="2"/>
      <c r="G22" s="2">
        <v>4</v>
      </c>
      <c r="H22" s="2">
        <v>4</v>
      </c>
      <c r="I22" s="2"/>
      <c r="J22" s="2"/>
      <c r="K22" s="37"/>
      <c r="L22" s="37"/>
      <c r="M22" s="2"/>
      <c r="N22" s="2">
        <v>4</v>
      </c>
      <c r="O22" s="2">
        <v>4</v>
      </c>
      <c r="P22" s="2"/>
      <c r="Q22" s="2"/>
      <c r="R22" s="37"/>
      <c r="S22" s="37"/>
      <c r="T22" s="2"/>
      <c r="U22" s="2">
        <v>4</v>
      </c>
      <c r="V22" s="2">
        <v>4</v>
      </c>
      <c r="W22" s="2"/>
      <c r="X22" s="2"/>
      <c r="Y22" s="37"/>
      <c r="Z22" s="37"/>
      <c r="AA22" s="2"/>
      <c r="AB22" s="2"/>
      <c r="AC22" s="2"/>
      <c r="AD22" s="2"/>
      <c r="AE22" s="2"/>
      <c r="AF22" s="37"/>
      <c r="AG22" s="37"/>
      <c r="AH22" s="2"/>
      <c r="AI22" s="2"/>
      <c r="AJ22" s="2"/>
      <c r="AK22" s="2"/>
      <c r="AL22" s="37"/>
      <c r="AM22" s="37"/>
      <c r="AN22" s="37"/>
      <c r="AO22" s="45">
        <f t="shared" si="0"/>
        <v>24</v>
      </c>
      <c r="AP22" s="59" t="str">
        <f>AP16</f>
        <v>120/120</v>
      </c>
    </row>
    <row r="23" spans="1:42" s="32" customFormat="1" ht="29.25" customHeight="1" x14ac:dyDescent="0.25">
      <c r="A23" s="100"/>
      <c r="B23" s="38" t="s">
        <v>32</v>
      </c>
      <c r="C23" s="38" t="s">
        <v>31</v>
      </c>
      <c r="D23" s="36" t="s">
        <v>107</v>
      </c>
      <c r="E23" s="2" t="s">
        <v>228</v>
      </c>
      <c r="F23" s="2"/>
      <c r="G23" s="2"/>
      <c r="H23" s="44"/>
      <c r="I23" s="44">
        <v>5</v>
      </c>
      <c r="J23" s="44"/>
      <c r="K23" s="37"/>
      <c r="L23" s="37"/>
      <c r="M23" s="2"/>
      <c r="N23" s="2"/>
      <c r="O23" s="44"/>
      <c r="P23" s="44">
        <v>5</v>
      </c>
      <c r="Q23" s="44"/>
      <c r="R23" s="37"/>
      <c r="S23" s="37"/>
      <c r="T23" s="2"/>
      <c r="U23" s="2"/>
      <c r="V23" s="44"/>
      <c r="W23" s="44">
        <v>5</v>
      </c>
      <c r="X23" s="44"/>
      <c r="Y23" s="37"/>
      <c r="Z23" s="37"/>
      <c r="AA23" s="2"/>
      <c r="AB23" s="2"/>
      <c r="AC23" s="2">
        <v>5</v>
      </c>
      <c r="AD23" s="42"/>
      <c r="AE23" s="42"/>
      <c r="AF23" s="37"/>
      <c r="AG23" s="37"/>
      <c r="AH23" s="2"/>
      <c r="AI23" s="2"/>
      <c r="AJ23" s="2">
        <v>5</v>
      </c>
      <c r="AK23" s="42"/>
      <c r="AL23" s="37"/>
      <c r="AM23" s="37"/>
      <c r="AN23" s="37"/>
      <c r="AO23" s="45">
        <f t="shared" si="0"/>
        <v>25</v>
      </c>
      <c r="AP23" s="59" t="str">
        <f>AP17</f>
        <v>25/45</v>
      </c>
    </row>
    <row r="24" spans="1:42" s="32" customFormat="1" ht="29.25" customHeight="1" x14ac:dyDescent="0.25">
      <c r="A24" s="101"/>
      <c r="B24" s="35" t="s">
        <v>27</v>
      </c>
      <c r="C24" s="35" t="s">
        <v>95</v>
      </c>
      <c r="D24" s="36" t="s">
        <v>107</v>
      </c>
      <c r="E24" s="2" t="s">
        <v>116</v>
      </c>
      <c r="F24" s="2">
        <v>1</v>
      </c>
      <c r="G24" s="2"/>
      <c r="H24" s="2"/>
      <c r="I24" s="2"/>
      <c r="J24" s="2"/>
      <c r="K24" s="37"/>
      <c r="L24" s="37"/>
      <c r="M24" s="2">
        <v>1</v>
      </c>
      <c r="N24" s="2"/>
      <c r="O24" s="2"/>
      <c r="P24" s="2"/>
      <c r="Q24" s="2"/>
      <c r="R24" s="37"/>
      <c r="S24" s="37"/>
      <c r="T24" s="2">
        <v>1</v>
      </c>
      <c r="U24" s="2"/>
      <c r="V24" s="2"/>
      <c r="W24" s="2"/>
      <c r="X24" s="2"/>
      <c r="Y24" s="37"/>
      <c r="Z24" s="37"/>
      <c r="AA24" s="2"/>
      <c r="AB24" s="2"/>
      <c r="AC24" s="2"/>
      <c r="AD24" s="2"/>
      <c r="AE24" s="2"/>
      <c r="AF24" s="37"/>
      <c r="AG24" s="37"/>
      <c r="AH24" s="2">
        <v>1</v>
      </c>
      <c r="AI24" s="2"/>
      <c r="AJ24" s="2"/>
      <c r="AK24" s="2"/>
      <c r="AL24" s="37"/>
      <c r="AM24" s="37"/>
      <c r="AN24" s="37"/>
      <c r="AO24" s="45">
        <f t="shared" si="0"/>
        <v>4</v>
      </c>
      <c r="AP24" s="58"/>
    </row>
    <row r="25" spans="1:42" s="32" customFormat="1" ht="28.5" customHeight="1" x14ac:dyDescent="0.25">
      <c r="A25" s="99" t="s">
        <v>119</v>
      </c>
      <c r="B25" s="38" t="s">
        <v>25</v>
      </c>
      <c r="C25" s="38" t="s">
        <v>86</v>
      </c>
      <c r="D25" s="36" t="s">
        <v>115</v>
      </c>
      <c r="E25" s="2" t="s">
        <v>16</v>
      </c>
      <c r="F25" s="2">
        <v>5</v>
      </c>
      <c r="G25" s="2"/>
      <c r="H25" s="2"/>
      <c r="I25" s="2"/>
      <c r="J25" s="2"/>
      <c r="K25" s="37"/>
      <c r="L25" s="37"/>
      <c r="M25" s="2">
        <v>5</v>
      </c>
      <c r="N25" s="2"/>
      <c r="O25" s="2"/>
      <c r="P25" s="2"/>
      <c r="Q25" s="2"/>
      <c r="R25" s="37"/>
      <c r="S25" s="37"/>
      <c r="T25" s="2">
        <v>5</v>
      </c>
      <c r="U25" s="2"/>
      <c r="V25" s="2"/>
      <c r="W25" s="2"/>
      <c r="X25" s="2"/>
      <c r="Y25" s="37"/>
      <c r="Z25" s="37"/>
      <c r="AA25" s="2">
        <v>5</v>
      </c>
      <c r="AB25" s="2"/>
      <c r="AC25" s="2"/>
      <c r="AD25" s="2"/>
      <c r="AE25" s="2"/>
      <c r="AF25" s="37"/>
      <c r="AG25" s="37"/>
      <c r="AH25" s="2">
        <v>5</v>
      </c>
      <c r="AI25" s="2"/>
      <c r="AJ25" s="2"/>
      <c r="AK25" s="2"/>
      <c r="AL25" s="37"/>
      <c r="AM25" s="37"/>
      <c r="AN25" s="37"/>
      <c r="AO25" s="45">
        <f>SUM(F25:AN25)</f>
        <v>25</v>
      </c>
      <c r="AP25" s="58" t="s">
        <v>194</v>
      </c>
    </row>
    <row r="26" spans="1:42" s="32" customFormat="1" ht="28.5" customHeight="1" x14ac:dyDescent="0.25">
      <c r="A26" s="100"/>
      <c r="B26" s="38" t="s">
        <v>200</v>
      </c>
      <c r="C26" s="38" t="s">
        <v>26</v>
      </c>
      <c r="D26" s="36" t="s">
        <v>107</v>
      </c>
      <c r="E26" s="2" t="s">
        <v>15</v>
      </c>
      <c r="F26" s="2"/>
      <c r="G26" s="2">
        <v>5</v>
      </c>
      <c r="H26" s="2"/>
      <c r="I26" s="2"/>
      <c r="J26" s="2"/>
      <c r="K26" s="37"/>
      <c r="L26" s="37"/>
      <c r="M26" s="2"/>
      <c r="N26" s="2">
        <v>5</v>
      </c>
      <c r="O26" s="2"/>
      <c r="P26" s="2"/>
      <c r="Q26" s="2"/>
      <c r="R26" s="37"/>
      <c r="S26" s="37"/>
      <c r="T26" s="2"/>
      <c r="U26" s="2">
        <v>5</v>
      </c>
      <c r="V26" s="2"/>
      <c r="W26" s="2"/>
      <c r="X26" s="2"/>
      <c r="Y26" s="37"/>
      <c r="Z26" s="37"/>
      <c r="AA26" s="2"/>
      <c r="AB26" s="2">
        <v>5</v>
      </c>
      <c r="AC26" s="2"/>
      <c r="AD26" s="2"/>
      <c r="AE26" s="2"/>
      <c r="AF26" s="37"/>
      <c r="AG26" s="37"/>
      <c r="AH26" s="2"/>
      <c r="AI26" s="2">
        <v>5</v>
      </c>
      <c r="AJ26" s="2"/>
      <c r="AK26" s="2"/>
      <c r="AL26" s="37"/>
      <c r="AM26" s="37"/>
      <c r="AN26" s="37"/>
      <c r="AO26" s="45">
        <f t="shared" ref="AO26" si="1">SUM(F26:AN26)</f>
        <v>25</v>
      </c>
      <c r="AP26" s="57" t="s">
        <v>226</v>
      </c>
    </row>
    <row r="27" spans="1:42" s="32" customFormat="1" ht="28.5" customHeight="1" x14ac:dyDescent="0.25">
      <c r="A27" s="100"/>
      <c r="B27" s="38" t="s">
        <v>171</v>
      </c>
      <c r="C27" s="38" t="s">
        <v>95</v>
      </c>
      <c r="D27" s="36" t="s">
        <v>107</v>
      </c>
      <c r="E27" s="2" t="s">
        <v>15</v>
      </c>
      <c r="F27" s="2"/>
      <c r="G27" s="2"/>
      <c r="H27" s="2"/>
      <c r="I27" s="2">
        <v>4</v>
      </c>
      <c r="J27" s="2"/>
      <c r="K27" s="37"/>
      <c r="L27" s="37"/>
      <c r="M27" s="2"/>
      <c r="N27" s="2"/>
      <c r="O27" s="2"/>
      <c r="P27" s="2">
        <v>4</v>
      </c>
      <c r="Q27" s="2"/>
      <c r="R27" s="37"/>
      <c r="S27" s="37"/>
      <c r="T27" s="2"/>
      <c r="U27" s="2"/>
      <c r="V27" s="2"/>
      <c r="W27" s="2">
        <v>4</v>
      </c>
      <c r="X27" s="2"/>
      <c r="Y27" s="37"/>
      <c r="Z27" s="37"/>
      <c r="AA27" s="2"/>
      <c r="AB27" s="2"/>
      <c r="AC27" s="2"/>
      <c r="AD27" s="2">
        <v>4</v>
      </c>
      <c r="AE27" s="2"/>
      <c r="AF27" s="37"/>
      <c r="AG27" s="37"/>
      <c r="AH27" s="2"/>
      <c r="AI27" s="2"/>
      <c r="AJ27" s="2"/>
      <c r="AK27" s="2">
        <v>4</v>
      </c>
      <c r="AL27" s="37"/>
      <c r="AM27" s="37"/>
      <c r="AN27" s="37"/>
      <c r="AO27" s="45">
        <f t="shared" si="0"/>
        <v>20</v>
      </c>
      <c r="AP27" s="58" t="s">
        <v>176</v>
      </c>
    </row>
    <row r="28" spans="1:42" s="32" customFormat="1" ht="28.5" customHeight="1" x14ac:dyDescent="0.25">
      <c r="A28" s="100"/>
      <c r="B28" s="40" t="s">
        <v>166</v>
      </c>
      <c r="C28" s="38" t="s">
        <v>167</v>
      </c>
      <c r="D28" s="36" t="s">
        <v>115</v>
      </c>
      <c r="E28" s="2" t="s">
        <v>204</v>
      </c>
      <c r="F28" s="2"/>
      <c r="G28" s="2">
        <v>5</v>
      </c>
      <c r="H28" s="2"/>
      <c r="I28" s="2"/>
      <c r="J28" s="2"/>
      <c r="K28" s="37"/>
      <c r="L28" s="37"/>
      <c r="M28" s="2"/>
      <c r="N28" s="2">
        <v>5</v>
      </c>
      <c r="O28" s="2"/>
      <c r="P28" s="2"/>
      <c r="Q28" s="2"/>
      <c r="R28" s="37"/>
      <c r="S28" s="37"/>
      <c r="T28" s="2"/>
      <c r="U28" s="2">
        <v>5</v>
      </c>
      <c r="V28" s="2"/>
      <c r="W28" s="2"/>
      <c r="X28" s="2"/>
      <c r="Y28" s="37"/>
      <c r="Z28" s="37"/>
      <c r="AA28" s="2"/>
      <c r="AB28" s="2">
        <v>5</v>
      </c>
      <c r="AC28" s="2"/>
      <c r="AD28" s="2"/>
      <c r="AE28" s="2"/>
      <c r="AF28" s="37"/>
      <c r="AG28" s="37"/>
      <c r="AH28" s="2"/>
      <c r="AI28" s="2">
        <v>5</v>
      </c>
      <c r="AJ28" s="2"/>
      <c r="AK28" s="2"/>
      <c r="AL28" s="37"/>
      <c r="AM28" s="37"/>
      <c r="AN28" s="37"/>
      <c r="AO28" s="45">
        <f t="shared" si="0"/>
        <v>25</v>
      </c>
      <c r="AP28" s="58" t="s">
        <v>193</v>
      </c>
    </row>
    <row r="29" spans="1:42" s="32" customFormat="1" ht="28.5" customHeight="1" x14ac:dyDescent="0.25">
      <c r="A29" s="100"/>
      <c r="B29" s="38" t="s">
        <v>93</v>
      </c>
      <c r="C29" s="38" t="s">
        <v>103</v>
      </c>
      <c r="D29" s="36">
        <v>2.4</v>
      </c>
      <c r="E29" s="2" t="s">
        <v>16</v>
      </c>
      <c r="F29" s="2"/>
      <c r="G29" s="2"/>
      <c r="H29" s="2">
        <v>4</v>
      </c>
      <c r="I29" s="2"/>
      <c r="J29" s="2"/>
      <c r="K29" s="37"/>
      <c r="L29" s="37"/>
      <c r="M29" s="2"/>
      <c r="N29" s="2"/>
      <c r="O29" s="2"/>
      <c r="P29" s="2"/>
      <c r="Q29" s="2"/>
      <c r="R29" s="37"/>
      <c r="S29" s="37"/>
      <c r="T29" s="2"/>
      <c r="U29" s="2"/>
      <c r="V29" s="2"/>
      <c r="W29" s="2"/>
      <c r="X29" s="2"/>
      <c r="Y29" s="37"/>
      <c r="Z29" s="37"/>
      <c r="AA29" s="2"/>
      <c r="AB29" s="2"/>
      <c r="AC29" s="2"/>
      <c r="AD29" s="2"/>
      <c r="AE29" s="2"/>
      <c r="AF29" s="37"/>
      <c r="AG29" s="37"/>
      <c r="AH29" s="2"/>
      <c r="AI29" s="2"/>
      <c r="AJ29" s="2"/>
      <c r="AK29" s="2"/>
      <c r="AL29" s="37"/>
      <c r="AM29" s="37"/>
      <c r="AN29" s="37"/>
      <c r="AO29" s="45">
        <f t="shared" si="0"/>
        <v>4</v>
      </c>
      <c r="AP29" s="57" t="s">
        <v>190</v>
      </c>
    </row>
    <row r="30" spans="1:42" s="32" customFormat="1" ht="28.5" customHeight="1" x14ac:dyDescent="0.25">
      <c r="A30" s="101"/>
      <c r="B30" s="35" t="s">
        <v>27</v>
      </c>
      <c r="C30" s="38" t="s">
        <v>26</v>
      </c>
      <c r="D30" s="36" t="s">
        <v>107</v>
      </c>
      <c r="E30" s="2" t="s">
        <v>116</v>
      </c>
      <c r="F30" s="2"/>
      <c r="G30" s="2"/>
      <c r="H30" s="2"/>
      <c r="I30" s="2">
        <v>1</v>
      </c>
      <c r="J30" s="2"/>
      <c r="K30" s="37"/>
      <c r="L30" s="37"/>
      <c r="M30" s="2"/>
      <c r="N30" s="2"/>
      <c r="O30" s="2"/>
      <c r="P30" s="2">
        <v>1</v>
      </c>
      <c r="Q30" s="2"/>
      <c r="R30" s="37"/>
      <c r="S30" s="37"/>
      <c r="T30" s="2"/>
      <c r="U30" s="2"/>
      <c r="V30" s="2"/>
      <c r="W30" s="2">
        <v>1</v>
      </c>
      <c r="X30" s="2"/>
      <c r="Y30" s="37"/>
      <c r="Z30" s="37"/>
      <c r="AA30" s="2"/>
      <c r="AB30" s="2"/>
      <c r="AC30" s="2"/>
      <c r="AD30" s="2"/>
      <c r="AE30" s="2"/>
      <c r="AF30" s="37"/>
      <c r="AG30" s="37"/>
      <c r="AH30" s="2"/>
      <c r="AI30" s="2"/>
      <c r="AJ30" s="2"/>
      <c r="AK30" s="2">
        <v>1</v>
      </c>
      <c r="AL30" s="37"/>
      <c r="AM30" s="37"/>
      <c r="AN30" s="37"/>
      <c r="AO30" s="45">
        <f t="shared" si="0"/>
        <v>4</v>
      </c>
      <c r="AP30" s="58"/>
    </row>
    <row r="31" spans="1:42" s="32" customFormat="1" ht="24.75" customHeight="1" x14ac:dyDescent="0.25">
      <c r="A31" s="99" t="s">
        <v>120</v>
      </c>
      <c r="B31" s="38" t="s">
        <v>34</v>
      </c>
      <c r="C31" s="38" t="s">
        <v>124</v>
      </c>
      <c r="D31" s="36">
        <v>2.1</v>
      </c>
      <c r="E31" s="2" t="s">
        <v>203</v>
      </c>
      <c r="F31" s="2">
        <v>5</v>
      </c>
      <c r="G31" s="2"/>
      <c r="H31" s="2"/>
      <c r="I31" s="2"/>
      <c r="J31" s="2"/>
      <c r="K31" s="37"/>
      <c r="L31" s="37"/>
      <c r="M31" s="2">
        <v>5</v>
      </c>
      <c r="N31" s="2"/>
      <c r="O31" s="2"/>
      <c r="P31" s="2"/>
      <c r="Q31" s="2"/>
      <c r="R31" s="37"/>
      <c r="S31" s="37"/>
      <c r="T31" s="2">
        <v>5</v>
      </c>
      <c r="U31" s="2"/>
      <c r="V31" s="2"/>
      <c r="W31" s="2"/>
      <c r="X31" s="2"/>
      <c r="Y31" s="37"/>
      <c r="Z31" s="37"/>
      <c r="AA31" s="2">
        <v>5</v>
      </c>
      <c r="AB31" s="2"/>
      <c r="AC31" s="2"/>
      <c r="AD31" s="2"/>
      <c r="AE31" s="2"/>
      <c r="AF31" s="37"/>
      <c r="AG31" s="37"/>
      <c r="AH31" s="2">
        <v>5</v>
      </c>
      <c r="AI31" s="2"/>
      <c r="AJ31" s="2"/>
      <c r="AK31" s="2"/>
      <c r="AL31" s="37"/>
      <c r="AM31" s="37"/>
      <c r="AN31" s="37"/>
      <c r="AO31" s="45">
        <f t="shared" si="0"/>
        <v>25</v>
      </c>
      <c r="AP31" s="58" t="s">
        <v>198</v>
      </c>
    </row>
    <row r="32" spans="1:42" s="32" customFormat="1" ht="24.75" customHeight="1" x14ac:dyDescent="0.25">
      <c r="A32" s="100"/>
      <c r="B32" s="38" t="s">
        <v>200</v>
      </c>
      <c r="C32" s="38" t="s">
        <v>26</v>
      </c>
      <c r="D32" s="36" t="s">
        <v>107</v>
      </c>
      <c r="E32" s="2" t="s">
        <v>15</v>
      </c>
      <c r="F32" s="2"/>
      <c r="G32" s="2">
        <v>5</v>
      </c>
      <c r="H32" s="2"/>
      <c r="I32" s="2"/>
      <c r="J32" s="2"/>
      <c r="K32" s="37"/>
      <c r="L32" s="37"/>
      <c r="M32" s="2"/>
      <c r="N32" s="2">
        <v>5</v>
      </c>
      <c r="O32" s="2"/>
      <c r="P32" s="2"/>
      <c r="Q32" s="2"/>
      <c r="R32" s="37"/>
      <c r="S32" s="37"/>
      <c r="T32" s="2"/>
      <c r="U32" s="2">
        <v>5</v>
      </c>
      <c r="V32" s="2"/>
      <c r="W32" s="2"/>
      <c r="X32" s="2"/>
      <c r="Y32" s="37"/>
      <c r="Z32" s="37"/>
      <c r="AA32" s="2"/>
      <c r="AB32" s="2">
        <v>5</v>
      </c>
      <c r="AC32" s="2"/>
      <c r="AD32" s="2"/>
      <c r="AE32" s="2"/>
      <c r="AF32" s="37"/>
      <c r="AG32" s="37"/>
      <c r="AH32" s="2"/>
      <c r="AI32" s="2">
        <v>5</v>
      </c>
      <c r="AJ32" s="2"/>
      <c r="AK32" s="2"/>
      <c r="AL32" s="37"/>
      <c r="AM32" s="37"/>
      <c r="AN32" s="37"/>
      <c r="AO32" s="45">
        <f t="shared" si="0"/>
        <v>25</v>
      </c>
      <c r="AP32" s="57" t="str">
        <f>AP26</f>
        <v>25/45</v>
      </c>
    </row>
    <row r="33" spans="1:42" s="32" customFormat="1" ht="24.75" customHeight="1" x14ac:dyDescent="0.25">
      <c r="A33" s="100"/>
      <c r="B33" s="38" t="s">
        <v>171</v>
      </c>
      <c r="C33" s="38" t="s">
        <v>95</v>
      </c>
      <c r="D33" s="36" t="s">
        <v>107</v>
      </c>
      <c r="E33" s="2" t="s">
        <v>15</v>
      </c>
      <c r="F33" s="2"/>
      <c r="G33" s="2"/>
      <c r="H33" s="2"/>
      <c r="I33" s="2">
        <v>4</v>
      </c>
      <c r="J33" s="2"/>
      <c r="K33" s="37"/>
      <c r="L33" s="37"/>
      <c r="M33" s="2"/>
      <c r="N33" s="2"/>
      <c r="O33" s="2"/>
      <c r="P33" s="2">
        <v>4</v>
      </c>
      <c r="Q33" s="2"/>
      <c r="R33" s="37"/>
      <c r="S33" s="37"/>
      <c r="T33" s="2"/>
      <c r="U33" s="2"/>
      <c r="V33" s="2"/>
      <c r="W33" s="2">
        <v>4</v>
      </c>
      <c r="X33" s="2"/>
      <c r="Y33" s="37"/>
      <c r="Z33" s="37"/>
      <c r="AA33" s="2"/>
      <c r="AB33" s="2"/>
      <c r="AC33" s="2"/>
      <c r="AD33" s="2">
        <v>4</v>
      </c>
      <c r="AE33" s="2"/>
      <c r="AF33" s="37"/>
      <c r="AG33" s="37"/>
      <c r="AH33" s="2"/>
      <c r="AI33" s="2"/>
      <c r="AJ33" s="2"/>
      <c r="AK33" s="2">
        <v>4</v>
      </c>
      <c r="AL33" s="37"/>
      <c r="AM33" s="37"/>
      <c r="AN33" s="37"/>
      <c r="AO33" s="45">
        <f t="shared" si="0"/>
        <v>20</v>
      </c>
      <c r="AP33" s="58" t="str">
        <f>AP27</f>
        <v>36/45</v>
      </c>
    </row>
    <row r="34" spans="1:42" s="32" customFormat="1" ht="24.75" customHeight="1" x14ac:dyDescent="0.25">
      <c r="A34" s="100"/>
      <c r="B34" s="40" t="s">
        <v>166</v>
      </c>
      <c r="C34" s="38" t="s">
        <v>167</v>
      </c>
      <c r="D34" s="36" t="s">
        <v>115</v>
      </c>
      <c r="E34" s="2" t="s">
        <v>15</v>
      </c>
      <c r="F34" s="2"/>
      <c r="G34" s="2"/>
      <c r="H34" s="2">
        <v>4</v>
      </c>
      <c r="I34" s="2"/>
      <c r="J34" s="2"/>
      <c r="K34" s="37"/>
      <c r="L34" s="37"/>
      <c r="M34" s="2"/>
      <c r="N34" s="2"/>
      <c r="O34" s="2">
        <v>4</v>
      </c>
      <c r="P34" s="2"/>
      <c r="Q34" s="2"/>
      <c r="R34" s="37"/>
      <c r="S34" s="37"/>
      <c r="T34" s="2"/>
      <c r="U34" s="2"/>
      <c r="V34" s="2">
        <v>4</v>
      </c>
      <c r="W34" s="2"/>
      <c r="X34" s="2"/>
      <c r="Y34" s="37"/>
      <c r="Z34" s="37"/>
      <c r="AA34" s="2"/>
      <c r="AB34" s="2"/>
      <c r="AC34" s="2">
        <v>4</v>
      </c>
      <c r="AD34" s="2"/>
      <c r="AE34" s="2"/>
      <c r="AF34" s="37"/>
      <c r="AG34" s="37"/>
      <c r="AH34" s="2"/>
      <c r="AI34" s="2"/>
      <c r="AJ34" s="2">
        <v>4</v>
      </c>
      <c r="AK34" s="2"/>
      <c r="AL34" s="37"/>
      <c r="AM34" s="37"/>
      <c r="AN34" s="37"/>
      <c r="AO34" s="45">
        <f t="shared" ref="AO34" si="2">SUM(F34:AN34)</f>
        <v>20</v>
      </c>
      <c r="AP34" s="58" t="s">
        <v>154</v>
      </c>
    </row>
    <row r="35" spans="1:42" s="86" customFormat="1" ht="24.75" customHeight="1" x14ac:dyDescent="0.25">
      <c r="A35" s="100"/>
      <c r="B35" s="79" t="s">
        <v>127</v>
      </c>
      <c r="C35" s="80" t="s">
        <v>202</v>
      </c>
      <c r="D35" s="81">
        <v>2.1</v>
      </c>
      <c r="E35" s="82" t="s">
        <v>15</v>
      </c>
      <c r="F35" s="82"/>
      <c r="G35" s="82"/>
      <c r="H35" s="82"/>
      <c r="I35" s="82"/>
      <c r="J35" s="82"/>
      <c r="K35" s="83"/>
      <c r="L35" s="83"/>
      <c r="M35" s="82"/>
      <c r="N35" s="82"/>
      <c r="O35" s="82"/>
      <c r="P35" s="82"/>
      <c r="Q35" s="82"/>
      <c r="R35" s="83"/>
      <c r="S35" s="83"/>
      <c r="T35" s="82"/>
      <c r="U35" s="82"/>
      <c r="V35" s="82"/>
      <c r="W35" s="82"/>
      <c r="X35" s="82"/>
      <c r="Y35" s="83"/>
      <c r="Z35" s="83"/>
      <c r="AA35" s="82"/>
      <c r="AB35" s="82"/>
      <c r="AC35" s="82"/>
      <c r="AD35" s="82"/>
      <c r="AE35" s="82"/>
      <c r="AF35" s="83"/>
      <c r="AG35" s="83"/>
      <c r="AH35" s="82"/>
      <c r="AI35" s="82"/>
      <c r="AJ35" s="82"/>
      <c r="AK35" s="82"/>
      <c r="AL35" s="83"/>
      <c r="AM35" s="83"/>
      <c r="AN35" s="83"/>
      <c r="AO35" s="84"/>
      <c r="AP35" s="85"/>
    </row>
    <row r="36" spans="1:42" s="32" customFormat="1" ht="24.75" customHeight="1" x14ac:dyDescent="0.25">
      <c r="A36" s="101"/>
      <c r="B36" s="35" t="s">
        <v>27</v>
      </c>
      <c r="C36" s="34" t="s">
        <v>26</v>
      </c>
      <c r="D36" s="36" t="s">
        <v>107</v>
      </c>
      <c r="E36" s="2" t="s">
        <v>116</v>
      </c>
      <c r="F36" s="2"/>
      <c r="G36" s="2">
        <v>1</v>
      </c>
      <c r="H36" s="2"/>
      <c r="I36" s="2"/>
      <c r="J36" s="2"/>
      <c r="K36" s="37"/>
      <c r="L36" s="37"/>
      <c r="M36" s="2"/>
      <c r="N36" s="2">
        <v>1</v>
      </c>
      <c r="O36" s="2"/>
      <c r="P36" s="2"/>
      <c r="Q36" s="2"/>
      <c r="R36" s="37"/>
      <c r="S36" s="37"/>
      <c r="T36" s="2"/>
      <c r="U36" s="2">
        <v>1</v>
      </c>
      <c r="V36" s="2"/>
      <c r="W36" s="2"/>
      <c r="X36" s="2"/>
      <c r="Y36" s="37"/>
      <c r="Z36" s="37"/>
      <c r="AA36" s="2"/>
      <c r="AB36" s="2">
        <v>1</v>
      </c>
      <c r="AC36" s="2"/>
      <c r="AD36" s="2"/>
      <c r="AE36" s="2"/>
      <c r="AF36" s="37"/>
      <c r="AG36" s="37"/>
      <c r="AH36" s="2"/>
      <c r="AI36" s="2">
        <v>1</v>
      </c>
      <c r="AJ36" s="2"/>
      <c r="AK36" s="2"/>
      <c r="AL36" s="37"/>
      <c r="AM36" s="37"/>
      <c r="AN36" s="37"/>
      <c r="AO36" s="45">
        <f t="shared" si="0"/>
        <v>5</v>
      </c>
      <c r="AP36" s="58"/>
    </row>
    <row r="37" spans="1:42" s="32" customFormat="1" ht="24.75" customHeight="1" x14ac:dyDescent="0.25">
      <c r="A37" s="99" t="s">
        <v>121</v>
      </c>
      <c r="B37" s="38" t="s">
        <v>34</v>
      </c>
      <c r="C37" s="38" t="s">
        <v>124</v>
      </c>
      <c r="D37" s="36">
        <v>2.1</v>
      </c>
      <c r="E37" s="2" t="s">
        <v>203</v>
      </c>
      <c r="F37" s="2">
        <v>5</v>
      </c>
      <c r="G37" s="2"/>
      <c r="H37" s="2"/>
      <c r="I37" s="2"/>
      <c r="J37" s="2"/>
      <c r="K37" s="37"/>
      <c r="L37" s="37"/>
      <c r="M37" s="2">
        <v>5</v>
      </c>
      <c r="N37" s="2"/>
      <c r="O37" s="2"/>
      <c r="P37" s="2"/>
      <c r="Q37" s="2"/>
      <c r="R37" s="37"/>
      <c r="S37" s="37"/>
      <c r="T37" s="2">
        <v>5</v>
      </c>
      <c r="U37" s="2"/>
      <c r="V37" s="2"/>
      <c r="W37" s="2"/>
      <c r="X37" s="2"/>
      <c r="Y37" s="37"/>
      <c r="Z37" s="37"/>
      <c r="AA37" s="2">
        <v>5</v>
      </c>
      <c r="AB37" s="2"/>
      <c r="AC37" s="2"/>
      <c r="AD37" s="2"/>
      <c r="AE37" s="2"/>
      <c r="AF37" s="37"/>
      <c r="AG37" s="37"/>
      <c r="AH37" s="2">
        <v>5</v>
      </c>
      <c r="AI37" s="2"/>
      <c r="AJ37" s="2"/>
      <c r="AK37" s="2"/>
      <c r="AL37" s="37"/>
      <c r="AM37" s="37"/>
      <c r="AN37" s="37"/>
      <c r="AO37" s="45">
        <f t="shared" si="0"/>
        <v>25</v>
      </c>
      <c r="AP37" s="58" t="str">
        <f>AP31</f>
        <v>75/90</v>
      </c>
    </row>
    <row r="38" spans="1:42" s="32" customFormat="1" ht="24.75" customHeight="1" x14ac:dyDescent="0.25">
      <c r="A38" s="100"/>
      <c r="B38" s="40" t="s">
        <v>166</v>
      </c>
      <c r="C38" s="38" t="s">
        <v>167</v>
      </c>
      <c r="D38" s="36" t="s">
        <v>115</v>
      </c>
      <c r="E38" s="2" t="s">
        <v>15</v>
      </c>
      <c r="F38" s="2"/>
      <c r="G38" s="2"/>
      <c r="H38" s="2">
        <v>4</v>
      </c>
      <c r="I38" s="2"/>
      <c r="J38" s="2"/>
      <c r="K38" s="37"/>
      <c r="L38" s="37"/>
      <c r="M38" s="2"/>
      <c r="N38" s="2"/>
      <c r="O38" s="2">
        <v>4</v>
      </c>
      <c r="P38" s="2"/>
      <c r="Q38" s="2"/>
      <c r="R38" s="37"/>
      <c r="S38" s="37"/>
      <c r="T38" s="2"/>
      <c r="U38" s="2"/>
      <c r="V38" s="2">
        <v>4</v>
      </c>
      <c r="W38" s="2"/>
      <c r="X38" s="2"/>
      <c r="Y38" s="37"/>
      <c r="Z38" s="37"/>
      <c r="AA38" s="2"/>
      <c r="AB38" s="2"/>
      <c r="AC38" s="2">
        <v>4</v>
      </c>
      <c r="AD38" s="2"/>
      <c r="AE38" s="2"/>
      <c r="AF38" s="37"/>
      <c r="AG38" s="37"/>
      <c r="AH38" s="2"/>
      <c r="AI38" s="2"/>
      <c r="AJ38" s="2">
        <v>4</v>
      </c>
      <c r="AK38" s="2"/>
      <c r="AL38" s="37"/>
      <c r="AM38" s="37"/>
      <c r="AN38" s="37"/>
      <c r="AO38" s="45">
        <f t="shared" si="0"/>
        <v>20</v>
      </c>
      <c r="AP38" s="58" t="str">
        <f>AP34</f>
        <v>24/36</v>
      </c>
    </row>
    <row r="39" spans="1:42" s="32" customFormat="1" ht="24.75" customHeight="1" x14ac:dyDescent="0.25">
      <c r="A39" s="100"/>
      <c r="B39" s="38" t="s">
        <v>171</v>
      </c>
      <c r="C39" s="38" t="s">
        <v>95</v>
      </c>
      <c r="D39" s="36" t="s">
        <v>107</v>
      </c>
      <c r="E39" s="2" t="s">
        <v>15</v>
      </c>
      <c r="F39" s="2"/>
      <c r="G39" s="2"/>
      <c r="H39" s="2"/>
      <c r="I39" s="2">
        <v>4</v>
      </c>
      <c r="J39" s="2"/>
      <c r="K39" s="37"/>
      <c r="L39" s="37"/>
      <c r="M39" s="2"/>
      <c r="N39" s="2"/>
      <c r="O39" s="2"/>
      <c r="P39" s="2">
        <v>4</v>
      </c>
      <c r="Q39" s="2"/>
      <c r="R39" s="37"/>
      <c r="S39" s="37"/>
      <c r="T39" s="2"/>
      <c r="U39" s="2"/>
      <c r="V39" s="2"/>
      <c r="W39" s="2">
        <v>4</v>
      </c>
      <c r="X39" s="2"/>
      <c r="Y39" s="37"/>
      <c r="Z39" s="37"/>
      <c r="AA39" s="2"/>
      <c r="AB39" s="2"/>
      <c r="AC39" s="2"/>
      <c r="AD39" s="2">
        <v>4</v>
      </c>
      <c r="AE39" s="2"/>
      <c r="AF39" s="37"/>
      <c r="AG39" s="37"/>
      <c r="AH39" s="2"/>
      <c r="AI39" s="2"/>
      <c r="AJ39" s="2"/>
      <c r="AK39" s="2">
        <v>4</v>
      </c>
      <c r="AL39" s="37"/>
      <c r="AM39" s="37"/>
      <c r="AN39" s="37"/>
      <c r="AO39" s="45">
        <f t="shared" si="0"/>
        <v>20</v>
      </c>
      <c r="AP39" s="58" t="str">
        <f>AP33</f>
        <v>36/45</v>
      </c>
    </row>
    <row r="40" spans="1:42" s="32" customFormat="1" ht="24.75" customHeight="1" x14ac:dyDescent="0.25">
      <c r="A40" s="100"/>
      <c r="B40" s="38" t="s">
        <v>200</v>
      </c>
      <c r="C40" s="38" t="s">
        <v>26</v>
      </c>
      <c r="D40" s="36" t="s">
        <v>107</v>
      </c>
      <c r="E40" s="2" t="s">
        <v>15</v>
      </c>
      <c r="F40" s="2"/>
      <c r="G40" s="2">
        <v>5</v>
      </c>
      <c r="H40" s="2"/>
      <c r="I40" s="2"/>
      <c r="J40" s="2"/>
      <c r="K40" s="37"/>
      <c r="L40" s="37"/>
      <c r="M40" s="2"/>
      <c r="N40" s="2">
        <v>5</v>
      </c>
      <c r="O40" s="2"/>
      <c r="P40" s="2"/>
      <c r="Q40" s="2"/>
      <c r="R40" s="37"/>
      <c r="S40" s="37"/>
      <c r="T40" s="2"/>
      <c r="U40" s="2">
        <v>5</v>
      </c>
      <c r="V40" s="2"/>
      <c r="W40" s="2"/>
      <c r="X40" s="2"/>
      <c r="Y40" s="37"/>
      <c r="Z40" s="37"/>
      <c r="AA40" s="2"/>
      <c r="AB40" s="2">
        <v>5</v>
      </c>
      <c r="AC40" s="2"/>
      <c r="AD40" s="2"/>
      <c r="AE40" s="2"/>
      <c r="AF40" s="37"/>
      <c r="AG40" s="37"/>
      <c r="AH40" s="2"/>
      <c r="AI40" s="2">
        <v>5</v>
      </c>
      <c r="AJ40" s="2"/>
      <c r="AK40" s="2"/>
      <c r="AL40" s="37"/>
      <c r="AM40" s="37"/>
      <c r="AN40" s="37"/>
      <c r="AO40" s="45">
        <f t="shared" si="0"/>
        <v>25</v>
      </c>
      <c r="AP40" s="57" t="str">
        <f>AP32</f>
        <v>25/45</v>
      </c>
    </row>
    <row r="41" spans="1:42" s="32" customFormat="1" ht="38.25" customHeight="1" x14ac:dyDescent="0.25">
      <c r="A41" s="100"/>
      <c r="B41" s="79" t="s">
        <v>127</v>
      </c>
      <c r="C41" s="80" t="s">
        <v>202</v>
      </c>
      <c r="D41" s="81">
        <v>2.1</v>
      </c>
      <c r="E41" s="82" t="s">
        <v>15</v>
      </c>
      <c r="F41" s="2"/>
      <c r="G41" s="2"/>
      <c r="H41" s="2"/>
      <c r="I41" s="2"/>
      <c r="J41" s="2"/>
      <c r="K41" s="37"/>
      <c r="L41" s="37"/>
      <c r="M41" s="2"/>
      <c r="N41" s="2"/>
      <c r="O41" s="2"/>
      <c r="P41" s="2"/>
      <c r="Q41" s="2"/>
      <c r="R41" s="37"/>
      <c r="S41" s="37"/>
      <c r="T41" s="2"/>
      <c r="U41" s="2"/>
      <c r="V41" s="2"/>
      <c r="W41" s="2"/>
      <c r="X41" s="2"/>
      <c r="Y41" s="37"/>
      <c r="Z41" s="37"/>
      <c r="AA41" s="2"/>
      <c r="AB41" s="2"/>
      <c r="AC41" s="2"/>
      <c r="AD41" s="2"/>
      <c r="AE41" s="2"/>
      <c r="AF41" s="37"/>
      <c r="AG41" s="37"/>
      <c r="AH41" s="2"/>
      <c r="AI41" s="2"/>
      <c r="AJ41" s="2"/>
      <c r="AK41" s="2"/>
      <c r="AL41" s="37"/>
      <c r="AM41" s="37"/>
      <c r="AN41" s="37"/>
      <c r="AO41" s="45">
        <f t="shared" si="0"/>
        <v>0</v>
      </c>
      <c r="AP41" s="58" t="s">
        <v>112</v>
      </c>
    </row>
    <row r="42" spans="1:42" s="32" customFormat="1" ht="24.75" customHeight="1" x14ac:dyDescent="0.25">
      <c r="A42" s="101"/>
      <c r="B42" s="35" t="s">
        <v>27</v>
      </c>
      <c r="C42" s="34" t="s">
        <v>94</v>
      </c>
      <c r="D42" s="36" t="s">
        <v>107</v>
      </c>
      <c r="E42" s="2" t="s">
        <v>116</v>
      </c>
      <c r="F42" s="2"/>
      <c r="G42" s="2">
        <v>1</v>
      </c>
      <c r="H42" s="2"/>
      <c r="I42" s="2"/>
      <c r="J42" s="2"/>
      <c r="K42" s="37"/>
      <c r="L42" s="37"/>
      <c r="M42" s="2"/>
      <c r="N42" s="2">
        <v>1</v>
      </c>
      <c r="O42" s="2"/>
      <c r="P42" s="2"/>
      <c r="Q42" s="2"/>
      <c r="R42" s="37"/>
      <c r="S42" s="37"/>
      <c r="T42" s="2"/>
      <c r="U42" s="2">
        <v>1</v>
      </c>
      <c r="V42" s="2"/>
      <c r="W42" s="2"/>
      <c r="X42" s="2"/>
      <c r="Y42" s="37"/>
      <c r="Z42" s="37"/>
      <c r="AA42" s="2"/>
      <c r="AB42" s="2">
        <v>1</v>
      </c>
      <c r="AC42" s="2"/>
      <c r="AD42" s="2"/>
      <c r="AE42" s="2"/>
      <c r="AF42" s="37"/>
      <c r="AG42" s="37"/>
      <c r="AH42" s="2"/>
      <c r="AI42" s="2">
        <v>1</v>
      </c>
      <c r="AJ42" s="2"/>
      <c r="AK42" s="2"/>
      <c r="AL42" s="37"/>
      <c r="AM42" s="37"/>
      <c r="AN42" s="37"/>
      <c r="AO42" s="45">
        <f t="shared" si="0"/>
        <v>5</v>
      </c>
      <c r="AP42" s="58"/>
    </row>
    <row r="43" spans="1:42" s="32" customFormat="1" ht="45.75" customHeight="1" x14ac:dyDescent="0.25">
      <c r="A43" s="41" t="s">
        <v>104</v>
      </c>
      <c r="B43" s="40" t="s">
        <v>233</v>
      </c>
      <c r="C43" s="38" t="s">
        <v>26</v>
      </c>
      <c r="D43" s="99" t="s">
        <v>100</v>
      </c>
      <c r="E43" s="2" t="s">
        <v>16</v>
      </c>
      <c r="F43" s="2"/>
      <c r="G43" s="2"/>
      <c r="H43" s="2">
        <v>5</v>
      </c>
      <c r="I43" s="2">
        <v>5</v>
      </c>
      <c r="J43" s="2"/>
      <c r="K43" s="37"/>
      <c r="L43" s="37"/>
      <c r="M43" s="2"/>
      <c r="N43" s="2"/>
      <c r="O43" s="2">
        <v>5</v>
      </c>
      <c r="P43" s="2">
        <v>5</v>
      </c>
      <c r="Q43" s="2"/>
      <c r="R43" s="37"/>
      <c r="S43" s="37"/>
      <c r="T43" s="2"/>
      <c r="U43" s="2"/>
      <c r="V43" s="2">
        <v>5</v>
      </c>
      <c r="W43" s="2">
        <v>5</v>
      </c>
      <c r="X43" s="2"/>
      <c r="Y43" s="37"/>
      <c r="Z43" s="37"/>
      <c r="AA43" s="2"/>
      <c r="AB43" s="2"/>
      <c r="AC43" s="2">
        <v>5</v>
      </c>
      <c r="AD43" s="2">
        <v>5</v>
      </c>
      <c r="AE43" s="2"/>
      <c r="AF43" s="37"/>
      <c r="AG43" s="37"/>
      <c r="AH43" s="2"/>
      <c r="AI43" s="2"/>
      <c r="AJ43" s="2">
        <v>5</v>
      </c>
      <c r="AK43" s="2">
        <v>5</v>
      </c>
      <c r="AL43" s="37"/>
      <c r="AM43" s="37"/>
      <c r="AN43" s="37"/>
      <c r="AO43" s="45">
        <f>SUM(F43:AN43)</f>
        <v>50</v>
      </c>
      <c r="AP43" s="58" t="s">
        <v>180</v>
      </c>
    </row>
    <row r="44" spans="1:42" s="32" customFormat="1" ht="40.5" customHeight="1" x14ac:dyDescent="0.25">
      <c r="A44" s="99" t="s">
        <v>223</v>
      </c>
      <c r="B44" s="88" t="s">
        <v>249</v>
      </c>
      <c r="C44" s="36" t="s">
        <v>31</v>
      </c>
      <c r="D44" s="100"/>
      <c r="E44" s="2" t="s">
        <v>203</v>
      </c>
      <c r="F44" s="2"/>
      <c r="G44" s="2"/>
      <c r="H44" s="2">
        <v>5</v>
      </c>
      <c r="I44" s="2">
        <v>5</v>
      </c>
      <c r="J44" s="2"/>
      <c r="K44" s="37"/>
      <c r="L44" s="37"/>
      <c r="M44" s="2"/>
      <c r="N44" s="2"/>
      <c r="O44" s="2">
        <v>5</v>
      </c>
      <c r="P44" s="2">
        <v>5</v>
      </c>
      <c r="Q44" s="2"/>
      <c r="R44" s="37"/>
      <c r="S44" s="37"/>
      <c r="T44" s="2"/>
      <c r="U44" s="2"/>
      <c r="V44" s="2">
        <v>5</v>
      </c>
      <c r="W44" s="2">
        <v>5</v>
      </c>
      <c r="X44" s="2"/>
      <c r="Y44" s="37"/>
      <c r="Z44" s="37"/>
      <c r="AA44" s="2"/>
      <c r="AB44" s="2"/>
      <c r="AC44" s="2">
        <v>5</v>
      </c>
      <c r="AD44" s="2"/>
      <c r="AE44" s="2"/>
      <c r="AF44" s="37"/>
      <c r="AG44" s="37"/>
      <c r="AH44" s="2"/>
      <c r="AI44" s="2"/>
      <c r="AJ44" s="2">
        <v>5</v>
      </c>
      <c r="AK44" s="2"/>
      <c r="AL44" s="37"/>
      <c r="AM44" s="37"/>
      <c r="AN44" s="37"/>
      <c r="AO44" s="45">
        <f>SUM(F44:AN44)</f>
        <v>40</v>
      </c>
      <c r="AP44" s="58" t="s">
        <v>190</v>
      </c>
    </row>
    <row r="45" spans="1:42" s="32" customFormat="1" ht="40.5" customHeight="1" x14ac:dyDescent="0.25">
      <c r="A45" s="101"/>
      <c r="B45" s="88" t="s">
        <v>34</v>
      </c>
      <c r="C45" s="36" t="s">
        <v>33</v>
      </c>
      <c r="D45" s="101"/>
      <c r="E45" s="2" t="s">
        <v>203</v>
      </c>
      <c r="F45" s="2"/>
      <c r="G45" s="2"/>
      <c r="H45" s="2"/>
      <c r="I45" s="2"/>
      <c r="J45" s="2"/>
      <c r="K45" s="37"/>
      <c r="L45" s="37"/>
      <c r="M45" s="2"/>
      <c r="N45" s="2"/>
      <c r="O45" s="2"/>
      <c r="P45" s="2"/>
      <c r="Q45" s="2"/>
      <c r="R45" s="37"/>
      <c r="S45" s="37"/>
      <c r="T45" s="2"/>
      <c r="U45" s="2"/>
      <c r="V45" s="2"/>
      <c r="W45" s="2"/>
      <c r="X45" s="2"/>
      <c r="Y45" s="37"/>
      <c r="Z45" s="37"/>
      <c r="AA45" s="2"/>
      <c r="AB45" s="2"/>
      <c r="AC45" s="2"/>
      <c r="AD45" s="2">
        <v>5</v>
      </c>
      <c r="AE45" s="2"/>
      <c r="AF45" s="37"/>
      <c r="AG45" s="37"/>
      <c r="AH45" s="2"/>
      <c r="AI45" s="2"/>
      <c r="AJ45" s="2"/>
      <c r="AK45" s="2">
        <v>5</v>
      </c>
      <c r="AL45" s="37"/>
      <c r="AM45" s="37"/>
      <c r="AN45" s="37"/>
      <c r="AO45" s="45">
        <f>SUM(F45:AL45)</f>
        <v>10</v>
      </c>
      <c r="AP45" s="58" t="s">
        <v>252</v>
      </c>
    </row>
    <row r="46" spans="1:42" s="32" customFormat="1" ht="21" customHeight="1" x14ac:dyDescent="0.25">
      <c r="A46" s="118" t="s">
        <v>111</v>
      </c>
      <c r="B46" s="99" t="s">
        <v>233</v>
      </c>
      <c r="C46" s="124" t="s">
        <v>95</v>
      </c>
      <c r="D46" s="99" t="s">
        <v>105</v>
      </c>
      <c r="E46" s="2" t="s">
        <v>17</v>
      </c>
      <c r="F46" s="2"/>
      <c r="G46" s="2"/>
      <c r="H46" s="2"/>
      <c r="I46" s="2"/>
      <c r="J46" s="2">
        <v>4</v>
      </c>
      <c r="K46" s="37"/>
      <c r="L46" s="37"/>
      <c r="M46" s="2"/>
      <c r="N46" s="2"/>
      <c r="O46" s="2"/>
      <c r="P46" s="2"/>
      <c r="Q46" s="2">
        <v>4</v>
      </c>
      <c r="R46" s="37"/>
      <c r="S46" s="37"/>
      <c r="T46" s="2"/>
      <c r="U46" s="2"/>
      <c r="V46" s="2"/>
      <c r="W46" s="2"/>
      <c r="X46" s="2">
        <v>4</v>
      </c>
      <c r="Y46" s="37"/>
      <c r="Z46" s="37"/>
      <c r="AA46" s="2"/>
      <c r="AB46" s="2"/>
      <c r="AC46" s="2"/>
      <c r="AD46" s="2"/>
      <c r="AE46" s="2">
        <v>4</v>
      </c>
      <c r="AF46" s="37"/>
      <c r="AG46" s="37"/>
      <c r="AH46" s="2"/>
      <c r="AI46" s="2"/>
      <c r="AJ46" s="2"/>
      <c r="AK46" s="2"/>
      <c r="AL46" s="37"/>
      <c r="AM46" s="37"/>
      <c r="AN46" s="37"/>
      <c r="AO46" s="125">
        <f>SUM(F46:AN47)</f>
        <v>52</v>
      </c>
      <c r="AP46" s="122" t="s">
        <v>240</v>
      </c>
    </row>
    <row r="47" spans="1:42" s="32" customFormat="1" ht="23.25" customHeight="1" x14ac:dyDescent="0.25">
      <c r="A47" s="118"/>
      <c r="B47" s="101"/>
      <c r="C47" s="124"/>
      <c r="D47" s="100"/>
      <c r="E47" s="2" t="s">
        <v>16</v>
      </c>
      <c r="F47" s="2"/>
      <c r="G47" s="2"/>
      <c r="H47" s="2"/>
      <c r="I47" s="2">
        <v>4</v>
      </c>
      <c r="J47" s="2">
        <v>4</v>
      </c>
      <c r="K47" s="37"/>
      <c r="L47" s="37"/>
      <c r="M47" s="2"/>
      <c r="N47" s="2"/>
      <c r="O47" s="2"/>
      <c r="P47" s="2">
        <v>4</v>
      </c>
      <c r="Q47" s="2">
        <v>4</v>
      </c>
      <c r="R47" s="37"/>
      <c r="S47" s="37"/>
      <c r="T47" s="2"/>
      <c r="U47" s="2"/>
      <c r="V47" s="2"/>
      <c r="W47" s="2">
        <v>4</v>
      </c>
      <c r="X47" s="2">
        <v>4</v>
      </c>
      <c r="Y47" s="37"/>
      <c r="Z47" s="37"/>
      <c r="AA47" s="2"/>
      <c r="AB47" s="2"/>
      <c r="AC47" s="2"/>
      <c r="AD47" s="2">
        <v>4</v>
      </c>
      <c r="AE47" s="2">
        <v>4</v>
      </c>
      <c r="AF47" s="37"/>
      <c r="AG47" s="37"/>
      <c r="AH47" s="2"/>
      <c r="AI47" s="2"/>
      <c r="AJ47" s="2"/>
      <c r="AK47" s="2">
        <v>4</v>
      </c>
      <c r="AL47" s="37"/>
      <c r="AM47" s="37"/>
      <c r="AN47" s="37"/>
      <c r="AO47" s="125"/>
      <c r="AP47" s="122"/>
    </row>
    <row r="48" spans="1:42" s="32" customFormat="1" ht="30.75" customHeight="1" x14ac:dyDescent="0.25">
      <c r="A48" s="99" t="s">
        <v>181</v>
      </c>
      <c r="B48" s="123" t="s">
        <v>30</v>
      </c>
      <c r="C48" s="118" t="s">
        <v>94</v>
      </c>
      <c r="D48" s="100"/>
      <c r="E48" s="2" t="s">
        <v>17</v>
      </c>
      <c r="F48" s="2"/>
      <c r="G48" s="2"/>
      <c r="H48" s="2"/>
      <c r="I48" s="2"/>
      <c r="J48" s="2">
        <v>4</v>
      </c>
      <c r="K48" s="37"/>
      <c r="L48" s="37"/>
      <c r="M48" s="2"/>
      <c r="N48" s="2"/>
      <c r="O48" s="2"/>
      <c r="P48" s="2"/>
      <c r="Q48" s="2">
        <v>4</v>
      </c>
      <c r="R48" s="37"/>
      <c r="S48" s="37"/>
      <c r="T48" s="2"/>
      <c r="U48" s="2"/>
      <c r="V48" s="2"/>
      <c r="W48" s="2"/>
      <c r="X48" s="2">
        <v>4</v>
      </c>
      <c r="Y48" s="37"/>
      <c r="Z48" s="37"/>
      <c r="AA48" s="2"/>
      <c r="AB48" s="2"/>
      <c r="AC48" s="2"/>
      <c r="AD48" s="2"/>
      <c r="AE48" s="2">
        <v>4</v>
      </c>
      <c r="AF48" s="37"/>
      <c r="AG48" s="37"/>
      <c r="AH48" s="2"/>
      <c r="AI48" s="2"/>
      <c r="AJ48" s="2"/>
      <c r="AK48" s="2"/>
      <c r="AL48" s="37"/>
      <c r="AM48" s="37"/>
      <c r="AN48" s="37"/>
      <c r="AO48" s="113">
        <f>SUM(F48:AM49)</f>
        <v>52</v>
      </c>
      <c r="AP48" s="115" t="s">
        <v>273</v>
      </c>
    </row>
    <row r="49" spans="1:49" s="32" customFormat="1" ht="36.75" customHeight="1" x14ac:dyDescent="0.25">
      <c r="A49" s="100"/>
      <c r="B49" s="123"/>
      <c r="C49" s="118"/>
      <c r="D49" s="100"/>
      <c r="E49" s="2" t="s">
        <v>16</v>
      </c>
      <c r="F49" s="2"/>
      <c r="G49" s="2"/>
      <c r="H49" s="2"/>
      <c r="I49" s="2">
        <v>4</v>
      </c>
      <c r="J49" s="2">
        <v>4</v>
      </c>
      <c r="K49" s="37"/>
      <c r="L49" s="37"/>
      <c r="M49" s="2"/>
      <c r="N49" s="2"/>
      <c r="O49" s="2"/>
      <c r="P49" s="2">
        <v>4</v>
      </c>
      <c r="Q49" s="2">
        <v>4</v>
      </c>
      <c r="R49" s="37"/>
      <c r="S49" s="37"/>
      <c r="T49" s="2"/>
      <c r="U49" s="2"/>
      <c r="V49" s="2"/>
      <c r="W49" s="2">
        <v>4</v>
      </c>
      <c r="X49" s="2">
        <v>4</v>
      </c>
      <c r="Y49" s="37"/>
      <c r="Z49" s="37"/>
      <c r="AA49" s="2"/>
      <c r="AB49" s="2"/>
      <c r="AC49" s="2"/>
      <c r="AD49" s="2">
        <v>4</v>
      </c>
      <c r="AE49" s="2">
        <v>4</v>
      </c>
      <c r="AF49" s="37"/>
      <c r="AG49" s="37"/>
      <c r="AH49" s="2"/>
      <c r="AI49" s="2"/>
      <c r="AJ49" s="2"/>
      <c r="AK49" s="2">
        <v>4</v>
      </c>
      <c r="AL49" s="37"/>
      <c r="AM49" s="37"/>
      <c r="AN49" s="37"/>
      <c r="AO49" s="114"/>
      <c r="AP49" s="116"/>
    </row>
    <row r="50" spans="1:49" s="32" customFormat="1" ht="28.5" customHeight="1" x14ac:dyDescent="0.25">
      <c r="A50" s="118" t="s">
        <v>170</v>
      </c>
      <c r="B50" s="123" t="s">
        <v>30</v>
      </c>
      <c r="C50" s="118" t="s">
        <v>94</v>
      </c>
      <c r="D50" s="143" t="s">
        <v>173</v>
      </c>
      <c r="E50" s="2" t="s">
        <v>17</v>
      </c>
      <c r="F50" s="2"/>
      <c r="G50" s="2"/>
      <c r="H50" s="2"/>
      <c r="I50" s="2"/>
      <c r="J50" s="2"/>
      <c r="K50" s="37">
        <v>5</v>
      </c>
      <c r="L50" s="37"/>
      <c r="M50" s="2"/>
      <c r="N50" s="2"/>
      <c r="O50" s="2"/>
      <c r="P50" s="2"/>
      <c r="Q50" s="2"/>
      <c r="R50" s="37">
        <v>5</v>
      </c>
      <c r="S50" s="37"/>
      <c r="T50" s="2"/>
      <c r="U50" s="2"/>
      <c r="V50" s="2"/>
      <c r="W50" s="2"/>
      <c r="X50" s="2"/>
      <c r="Y50" s="37">
        <v>5</v>
      </c>
      <c r="Z50" s="37"/>
      <c r="AA50" s="2"/>
      <c r="AB50" s="2"/>
      <c r="AC50" s="2"/>
      <c r="AD50" s="2"/>
      <c r="AE50" s="2"/>
      <c r="AF50" s="37">
        <v>5</v>
      </c>
      <c r="AG50" s="37"/>
      <c r="AH50" s="2"/>
      <c r="AI50" s="2"/>
      <c r="AJ50" s="2"/>
      <c r="AK50" s="2"/>
      <c r="AL50" s="37"/>
      <c r="AM50" s="37"/>
      <c r="AN50" s="37"/>
      <c r="AO50" s="125">
        <f>SUM(K50:AM51)</f>
        <v>40</v>
      </c>
      <c r="AP50" s="111" t="s">
        <v>247</v>
      </c>
      <c r="AQ50" s="64"/>
      <c r="AR50" s="64"/>
      <c r="AS50" s="64"/>
      <c r="AT50" s="64"/>
      <c r="AU50" s="64"/>
      <c r="AV50" s="129">
        <v>15</v>
      </c>
      <c r="AW50" s="130" t="s">
        <v>144</v>
      </c>
    </row>
    <row r="51" spans="1:49" s="32" customFormat="1" ht="31.5" customHeight="1" x14ac:dyDescent="0.25">
      <c r="A51" s="118"/>
      <c r="B51" s="123"/>
      <c r="C51" s="118"/>
      <c r="D51" s="144"/>
      <c r="E51" s="2" t="s">
        <v>16</v>
      </c>
      <c r="F51" s="2"/>
      <c r="G51" s="2"/>
      <c r="H51" s="2"/>
      <c r="I51" s="2"/>
      <c r="J51" s="2"/>
      <c r="K51" s="37">
        <v>5</v>
      </c>
      <c r="L51" s="37"/>
      <c r="M51" s="2"/>
      <c r="N51" s="2"/>
      <c r="O51" s="2"/>
      <c r="P51" s="2"/>
      <c r="Q51" s="2"/>
      <c r="R51" s="37">
        <v>5</v>
      </c>
      <c r="S51" s="37"/>
      <c r="T51" s="2"/>
      <c r="U51" s="2"/>
      <c r="V51" s="2"/>
      <c r="W51" s="2"/>
      <c r="X51" s="2"/>
      <c r="Y51" s="37">
        <v>5</v>
      </c>
      <c r="Z51" s="37"/>
      <c r="AA51" s="2"/>
      <c r="AB51" s="2"/>
      <c r="AC51" s="2"/>
      <c r="AD51" s="2"/>
      <c r="AE51" s="2"/>
      <c r="AF51" s="37">
        <v>5</v>
      </c>
      <c r="AG51" s="37"/>
      <c r="AH51" s="2"/>
      <c r="AI51" s="2"/>
      <c r="AJ51" s="2"/>
      <c r="AK51" s="2"/>
      <c r="AL51" s="37"/>
      <c r="AM51" s="37"/>
      <c r="AN51" s="37"/>
      <c r="AO51" s="125"/>
      <c r="AP51" s="112"/>
      <c r="AQ51" s="64"/>
      <c r="AR51" s="64"/>
      <c r="AS51" s="64"/>
      <c r="AT51" s="64"/>
      <c r="AU51" s="64"/>
      <c r="AV51" s="129"/>
      <c r="AW51" s="130"/>
    </row>
    <row r="52" spans="1:49" s="32" customFormat="1" ht="48" customHeight="1" x14ac:dyDescent="0.25">
      <c r="A52" s="118" t="s">
        <v>109</v>
      </c>
      <c r="B52" s="35" t="s">
        <v>34</v>
      </c>
      <c r="C52" s="35" t="s">
        <v>124</v>
      </c>
      <c r="D52" s="99" t="s">
        <v>110</v>
      </c>
      <c r="E52" s="62" t="s">
        <v>204</v>
      </c>
      <c r="F52" s="2"/>
      <c r="G52" s="2"/>
      <c r="H52" s="2"/>
      <c r="I52" s="2"/>
      <c r="J52" s="2"/>
      <c r="K52" s="37"/>
      <c r="L52" s="37"/>
      <c r="M52" s="62"/>
      <c r="N52" s="62"/>
      <c r="O52" s="2"/>
      <c r="P52" s="2"/>
      <c r="Q52" s="2"/>
      <c r="R52" s="65"/>
      <c r="S52" s="37"/>
      <c r="T52" s="62"/>
      <c r="U52" s="62"/>
      <c r="V52" s="2"/>
      <c r="W52" s="2"/>
      <c r="X52" s="2"/>
      <c r="Y52" s="65"/>
      <c r="Z52" s="37"/>
      <c r="AA52" s="2"/>
      <c r="AB52" s="2"/>
      <c r="AC52" s="2"/>
      <c r="AD52" s="2"/>
      <c r="AE52" s="2"/>
      <c r="AF52" s="37"/>
      <c r="AG52" s="37"/>
      <c r="AH52" s="2"/>
      <c r="AI52" s="2"/>
      <c r="AJ52" s="2">
        <v>5</v>
      </c>
      <c r="AK52" s="2">
        <v>5</v>
      </c>
      <c r="AL52" s="37"/>
      <c r="AM52" s="37"/>
      <c r="AN52" s="37"/>
      <c r="AO52" s="2">
        <f>SUM(F52:AM52)</f>
        <v>10</v>
      </c>
      <c r="AP52" s="2" t="s">
        <v>231</v>
      </c>
    </row>
    <row r="53" spans="1:49" s="32" customFormat="1" ht="48" customHeight="1" x14ac:dyDescent="0.25">
      <c r="A53" s="118"/>
      <c r="B53" s="35" t="s">
        <v>149</v>
      </c>
      <c r="C53" s="35" t="s">
        <v>35</v>
      </c>
      <c r="D53" s="100"/>
      <c r="E53" s="62" t="s">
        <v>204</v>
      </c>
      <c r="F53" s="62"/>
      <c r="G53" s="62"/>
      <c r="H53" s="2">
        <v>5</v>
      </c>
      <c r="I53" s="2">
        <v>5</v>
      </c>
      <c r="J53" s="2"/>
      <c r="K53" s="65"/>
      <c r="L53" s="37"/>
      <c r="M53" s="62"/>
      <c r="N53" s="62"/>
      <c r="O53" s="2">
        <v>5</v>
      </c>
      <c r="P53" s="2">
        <v>5</v>
      </c>
      <c r="Q53" s="2"/>
      <c r="R53" s="37"/>
      <c r="S53" s="37"/>
      <c r="T53" s="2"/>
      <c r="U53" s="2"/>
      <c r="V53" s="2">
        <v>5</v>
      </c>
      <c r="W53" s="2">
        <v>5</v>
      </c>
      <c r="X53" s="2"/>
      <c r="Y53" s="65"/>
      <c r="Z53" s="37"/>
      <c r="AA53" s="2"/>
      <c r="AB53" s="2"/>
      <c r="AC53" s="2">
        <v>5</v>
      </c>
      <c r="AD53" s="2">
        <v>5</v>
      </c>
      <c r="AE53" s="2"/>
      <c r="AF53" s="37"/>
      <c r="AG53" s="37"/>
      <c r="AH53" s="2"/>
      <c r="AI53" s="2"/>
      <c r="AJ53" s="2"/>
      <c r="AK53" s="2"/>
      <c r="AL53" s="37"/>
      <c r="AM53" s="37"/>
      <c r="AN53" s="37"/>
      <c r="AO53" s="38">
        <f t="shared" ref="AO53:AO54" si="3">SUM(F53:AM53)</f>
        <v>40</v>
      </c>
      <c r="AP53" s="38" t="s">
        <v>231</v>
      </c>
    </row>
    <row r="54" spans="1:49" s="32" customFormat="1" ht="64.5" customHeight="1" x14ac:dyDescent="0.25">
      <c r="A54" s="67" t="s">
        <v>183</v>
      </c>
      <c r="B54" s="34" t="s">
        <v>171</v>
      </c>
      <c r="C54" s="35" t="s">
        <v>35</v>
      </c>
      <c r="D54" s="100"/>
      <c r="E54" s="2" t="s">
        <v>228</v>
      </c>
      <c r="F54" s="62"/>
      <c r="G54" s="62"/>
      <c r="H54" s="62">
        <v>5</v>
      </c>
      <c r="I54" s="62">
        <v>5</v>
      </c>
      <c r="J54" s="62"/>
      <c r="K54" s="65"/>
      <c r="L54" s="65"/>
      <c r="M54" s="62"/>
      <c r="N54" s="62"/>
      <c r="O54" s="2">
        <v>5</v>
      </c>
      <c r="P54" s="2">
        <v>5</v>
      </c>
      <c r="Q54" s="2"/>
      <c r="R54" s="65"/>
      <c r="S54" s="37"/>
      <c r="T54" s="62"/>
      <c r="U54" s="62"/>
      <c r="V54" s="2">
        <v>5</v>
      </c>
      <c r="W54" s="2">
        <v>5</v>
      </c>
      <c r="X54" s="2"/>
      <c r="Y54" s="65"/>
      <c r="Z54" s="37"/>
      <c r="AA54" s="2"/>
      <c r="AB54" s="2"/>
      <c r="AC54" s="2">
        <v>5</v>
      </c>
      <c r="AD54" s="2">
        <v>5</v>
      </c>
      <c r="AE54" s="2"/>
      <c r="AF54" s="37"/>
      <c r="AG54" s="37"/>
      <c r="AH54" s="2"/>
      <c r="AI54" s="2"/>
      <c r="AJ54" s="2">
        <v>5</v>
      </c>
      <c r="AK54" s="2"/>
      <c r="AL54" s="37"/>
      <c r="AM54" s="37"/>
      <c r="AN54" s="37"/>
      <c r="AO54" s="38">
        <f t="shared" si="3"/>
        <v>45</v>
      </c>
      <c r="AP54" s="38" t="s">
        <v>108</v>
      </c>
    </row>
    <row r="55" spans="1:49" s="32" customFormat="1" ht="28.5" customHeight="1" x14ac:dyDescent="0.25">
      <c r="A55" s="99" t="s">
        <v>215</v>
      </c>
      <c r="B55" s="99" t="s">
        <v>249</v>
      </c>
      <c r="C55" s="118" t="s">
        <v>31</v>
      </c>
      <c r="D55" s="118" t="s">
        <v>222</v>
      </c>
      <c r="E55" s="2" t="s">
        <v>228</v>
      </c>
      <c r="F55" s="2"/>
      <c r="G55" s="2"/>
      <c r="H55" s="2"/>
      <c r="I55" s="2"/>
      <c r="J55" s="2"/>
      <c r="K55" s="37">
        <v>5</v>
      </c>
      <c r="L55" s="37"/>
      <c r="M55" s="2"/>
      <c r="N55" s="2"/>
      <c r="O55" s="2"/>
      <c r="P55" s="2"/>
      <c r="Q55" s="2"/>
      <c r="R55" s="37">
        <v>5</v>
      </c>
      <c r="S55" s="37"/>
      <c r="T55" s="2"/>
      <c r="U55" s="2"/>
      <c r="V55" s="2"/>
      <c r="W55" s="2"/>
      <c r="X55" s="2"/>
      <c r="Y55" s="37">
        <v>4</v>
      </c>
      <c r="Z55" s="37"/>
      <c r="AA55" s="2"/>
      <c r="AB55" s="2"/>
      <c r="AC55" s="2"/>
      <c r="AD55" s="2"/>
      <c r="AE55" s="2"/>
      <c r="AF55" s="37">
        <v>4</v>
      </c>
      <c r="AG55" s="37"/>
      <c r="AH55" s="2"/>
      <c r="AI55" s="2"/>
      <c r="AJ55" s="2"/>
      <c r="AK55" s="2"/>
      <c r="AL55" s="37"/>
      <c r="AM55" s="37"/>
      <c r="AN55" s="37"/>
      <c r="AO55" s="125">
        <f>SUM(F55:AK57)</f>
        <v>50</v>
      </c>
      <c r="AP55" s="122" t="s">
        <v>255</v>
      </c>
    </row>
    <row r="56" spans="1:49" s="32" customFormat="1" ht="28.5" customHeight="1" x14ac:dyDescent="0.25">
      <c r="A56" s="100"/>
      <c r="B56" s="100"/>
      <c r="C56" s="118"/>
      <c r="D56" s="118"/>
      <c r="E56" s="2" t="s">
        <v>16</v>
      </c>
      <c r="F56" s="2"/>
      <c r="G56" s="2"/>
      <c r="H56" s="2"/>
      <c r="I56" s="2"/>
      <c r="J56" s="2"/>
      <c r="K56" s="37">
        <v>4</v>
      </c>
      <c r="L56" s="37"/>
      <c r="M56" s="2"/>
      <c r="N56" s="2"/>
      <c r="O56" s="2"/>
      <c r="P56" s="2"/>
      <c r="Q56" s="2"/>
      <c r="R56" s="37">
        <v>4</v>
      </c>
      <c r="S56" s="37"/>
      <c r="T56" s="2"/>
      <c r="U56" s="2"/>
      <c r="V56" s="2"/>
      <c r="W56" s="2"/>
      <c r="X56" s="2"/>
      <c r="Y56" s="37">
        <v>4</v>
      </c>
      <c r="Z56" s="37"/>
      <c r="AA56" s="2"/>
      <c r="AB56" s="2"/>
      <c r="AC56" s="2"/>
      <c r="AD56" s="2"/>
      <c r="AE56" s="2"/>
      <c r="AF56" s="37">
        <v>4</v>
      </c>
      <c r="AG56" s="37"/>
      <c r="AH56" s="2"/>
      <c r="AI56" s="2"/>
      <c r="AJ56" s="2"/>
      <c r="AK56" s="2"/>
      <c r="AL56" s="37"/>
      <c r="AM56" s="37"/>
      <c r="AN56" s="37"/>
      <c r="AO56" s="125"/>
      <c r="AP56" s="122"/>
    </row>
    <row r="57" spans="1:49" s="32" customFormat="1" ht="31.5" customHeight="1" x14ac:dyDescent="0.25">
      <c r="A57" s="100"/>
      <c r="B57" s="101"/>
      <c r="C57" s="118"/>
      <c r="D57" s="118"/>
      <c r="E57" s="2" t="s">
        <v>216</v>
      </c>
      <c r="F57" s="2"/>
      <c r="G57" s="2"/>
      <c r="H57" s="2"/>
      <c r="I57" s="2"/>
      <c r="J57" s="2">
        <v>4</v>
      </c>
      <c r="K57" s="37"/>
      <c r="L57" s="37"/>
      <c r="M57" s="2"/>
      <c r="N57" s="2"/>
      <c r="O57" s="2"/>
      <c r="P57" s="2"/>
      <c r="Q57" s="2">
        <v>4</v>
      </c>
      <c r="R57" s="37"/>
      <c r="S57" s="37"/>
      <c r="T57" s="2"/>
      <c r="U57" s="2"/>
      <c r="V57" s="2"/>
      <c r="W57" s="2"/>
      <c r="X57" s="2">
        <v>4</v>
      </c>
      <c r="Y57" s="37"/>
      <c r="Z57" s="37"/>
      <c r="AA57" s="2"/>
      <c r="AB57" s="2"/>
      <c r="AC57" s="2"/>
      <c r="AD57" s="2"/>
      <c r="AE57" s="2">
        <v>4</v>
      </c>
      <c r="AF57" s="37"/>
      <c r="AG57" s="37"/>
      <c r="AH57" s="2"/>
      <c r="AI57" s="2"/>
      <c r="AJ57" s="2"/>
      <c r="AK57" s="2"/>
      <c r="AL57" s="37"/>
      <c r="AM57" s="37"/>
      <c r="AN57" s="37"/>
      <c r="AO57" s="125"/>
      <c r="AP57" s="122"/>
    </row>
    <row r="58" spans="1:49" s="32" customFormat="1" ht="24.75" customHeight="1" x14ac:dyDescent="0.25">
      <c r="A58" s="99" t="s">
        <v>102</v>
      </c>
      <c r="B58" s="99" t="s">
        <v>236</v>
      </c>
      <c r="C58" s="124" t="s">
        <v>23</v>
      </c>
      <c r="D58" s="99" t="s">
        <v>99</v>
      </c>
      <c r="E58" s="2" t="s">
        <v>15</v>
      </c>
      <c r="F58" s="2"/>
      <c r="G58" s="2"/>
      <c r="H58" s="2"/>
      <c r="I58" s="2"/>
      <c r="J58" s="2"/>
      <c r="K58" s="37">
        <v>5</v>
      </c>
      <c r="L58" s="37"/>
      <c r="M58" s="2"/>
      <c r="N58" s="2"/>
      <c r="O58" s="2"/>
      <c r="P58" s="2"/>
      <c r="Q58" s="2"/>
      <c r="R58" s="37">
        <v>5</v>
      </c>
      <c r="S58" s="37"/>
      <c r="T58" s="2"/>
      <c r="U58" s="2"/>
      <c r="V58" s="2"/>
      <c r="W58" s="2"/>
      <c r="X58" s="2"/>
      <c r="Y58" s="37">
        <v>5</v>
      </c>
      <c r="Z58" s="37"/>
      <c r="AA58" s="2"/>
      <c r="AB58" s="2"/>
      <c r="AC58" s="2"/>
      <c r="AD58" s="2"/>
      <c r="AE58" s="2"/>
      <c r="AF58" s="37">
        <v>5</v>
      </c>
      <c r="AG58" s="37"/>
      <c r="AH58" s="2"/>
      <c r="AI58" s="2"/>
      <c r="AJ58" s="2"/>
      <c r="AK58" s="2"/>
      <c r="AL58" s="37"/>
      <c r="AM58" s="37"/>
      <c r="AN58" s="37"/>
      <c r="AO58" s="113">
        <f>SUM(J58:AN59)</f>
        <v>36</v>
      </c>
      <c r="AP58" s="115" t="s">
        <v>108</v>
      </c>
    </row>
    <row r="59" spans="1:49" s="32" customFormat="1" ht="32.25" customHeight="1" x14ac:dyDescent="0.25">
      <c r="A59" s="101"/>
      <c r="B59" s="101"/>
      <c r="C59" s="124"/>
      <c r="D59" s="101"/>
      <c r="E59" s="2" t="s">
        <v>16</v>
      </c>
      <c r="F59" s="2"/>
      <c r="G59" s="2"/>
      <c r="H59" s="2"/>
      <c r="I59" s="2"/>
      <c r="J59" s="2"/>
      <c r="K59" s="37">
        <v>4</v>
      </c>
      <c r="L59" s="37"/>
      <c r="M59" s="2"/>
      <c r="N59" s="2"/>
      <c r="O59" s="2"/>
      <c r="P59" s="2"/>
      <c r="Q59" s="2"/>
      <c r="R59" s="37">
        <v>4</v>
      </c>
      <c r="S59" s="37"/>
      <c r="T59" s="2"/>
      <c r="U59" s="2"/>
      <c r="V59" s="2"/>
      <c r="W59" s="2"/>
      <c r="X59" s="2"/>
      <c r="Y59" s="37">
        <v>4</v>
      </c>
      <c r="Z59" s="37"/>
      <c r="AA59" s="2"/>
      <c r="AB59" s="2"/>
      <c r="AC59" s="2"/>
      <c r="AD59" s="2"/>
      <c r="AE59" s="2"/>
      <c r="AF59" s="37">
        <v>4</v>
      </c>
      <c r="AG59" s="37"/>
      <c r="AH59" s="2"/>
      <c r="AI59" s="2"/>
      <c r="AJ59" s="2"/>
      <c r="AK59" s="2"/>
      <c r="AL59" s="37"/>
      <c r="AM59" s="37"/>
      <c r="AN59" s="37"/>
      <c r="AO59" s="114"/>
      <c r="AP59" s="116"/>
    </row>
    <row r="60" spans="1:49" s="32" customFormat="1" ht="18.75" customHeight="1" x14ac:dyDescent="0.25">
      <c r="A60" s="100" t="s">
        <v>217</v>
      </c>
      <c r="B60" s="99" t="s">
        <v>93</v>
      </c>
      <c r="C60" s="100" t="s">
        <v>103</v>
      </c>
      <c r="D60" s="100" t="s">
        <v>218</v>
      </c>
      <c r="E60" s="2" t="s">
        <v>228</v>
      </c>
      <c r="F60" s="2"/>
      <c r="G60" s="2"/>
      <c r="H60" s="2"/>
      <c r="I60" s="2"/>
      <c r="J60" s="2"/>
      <c r="K60" s="37">
        <v>5</v>
      </c>
      <c r="L60" s="37"/>
      <c r="M60" s="2"/>
      <c r="N60" s="2"/>
      <c r="O60" s="2"/>
      <c r="P60" s="2"/>
      <c r="Q60" s="2"/>
      <c r="R60" s="37"/>
      <c r="S60" s="37"/>
      <c r="T60" s="2"/>
      <c r="U60" s="2"/>
      <c r="V60" s="2"/>
      <c r="W60" s="2"/>
      <c r="X60" s="2"/>
      <c r="Y60" s="37"/>
      <c r="Z60" s="37"/>
      <c r="AA60" s="2"/>
      <c r="AB60" s="2"/>
      <c r="AC60" s="2"/>
      <c r="AD60" s="2"/>
      <c r="AE60" s="2"/>
      <c r="AF60" s="37"/>
      <c r="AG60" s="37"/>
      <c r="AH60" s="2"/>
      <c r="AI60" s="2"/>
      <c r="AJ60" s="2"/>
      <c r="AK60" s="2"/>
      <c r="AL60" s="37"/>
      <c r="AM60" s="37"/>
      <c r="AN60" s="37"/>
      <c r="AO60" s="113">
        <f>SUM(J60:AN61)</f>
        <v>10</v>
      </c>
      <c r="AP60" s="115" t="s">
        <v>242</v>
      </c>
    </row>
    <row r="61" spans="1:49" s="32" customFormat="1" ht="18.75" customHeight="1" x14ac:dyDescent="0.25">
      <c r="A61" s="100"/>
      <c r="B61" s="101"/>
      <c r="C61" s="101"/>
      <c r="D61" s="100"/>
      <c r="E61" s="2" t="s">
        <v>204</v>
      </c>
      <c r="F61" s="2"/>
      <c r="G61" s="2"/>
      <c r="H61" s="2"/>
      <c r="I61" s="2"/>
      <c r="J61" s="2"/>
      <c r="K61" s="37">
        <v>5</v>
      </c>
      <c r="L61" s="37"/>
      <c r="M61" s="2"/>
      <c r="N61" s="2"/>
      <c r="O61" s="2"/>
      <c r="P61" s="2"/>
      <c r="Q61" s="2"/>
      <c r="R61" s="37"/>
      <c r="S61" s="37"/>
      <c r="T61" s="2"/>
      <c r="U61" s="2"/>
      <c r="V61" s="2"/>
      <c r="W61" s="2"/>
      <c r="X61" s="2"/>
      <c r="Y61" s="37"/>
      <c r="Z61" s="37"/>
      <c r="AA61" s="2"/>
      <c r="AB61" s="2"/>
      <c r="AC61" s="2"/>
      <c r="AD61" s="2"/>
      <c r="AE61" s="2"/>
      <c r="AF61" s="37"/>
      <c r="AG61" s="37"/>
      <c r="AH61" s="2"/>
      <c r="AI61" s="2"/>
      <c r="AJ61" s="2"/>
      <c r="AK61" s="2"/>
      <c r="AL61" s="37"/>
      <c r="AM61" s="37"/>
      <c r="AN61" s="37"/>
      <c r="AO61" s="114"/>
      <c r="AP61" s="116"/>
    </row>
    <row r="62" spans="1:49" s="32" customFormat="1" ht="27" customHeight="1" x14ac:dyDescent="0.25">
      <c r="A62" s="100"/>
      <c r="B62" s="62" t="s">
        <v>151</v>
      </c>
      <c r="C62" s="67"/>
      <c r="D62" s="100"/>
      <c r="E62" s="2" t="s">
        <v>216</v>
      </c>
      <c r="F62" s="2"/>
      <c r="G62" s="2"/>
      <c r="H62" s="2"/>
      <c r="I62" s="2"/>
      <c r="J62" s="2"/>
      <c r="K62" s="37"/>
      <c r="L62" s="37"/>
      <c r="M62" s="2"/>
      <c r="N62" s="2"/>
      <c r="O62" s="2"/>
      <c r="P62" s="2"/>
      <c r="Q62" s="2"/>
      <c r="R62" s="37"/>
      <c r="S62" s="37">
        <v>4</v>
      </c>
      <c r="T62" s="2"/>
      <c r="U62" s="2"/>
      <c r="V62" s="2"/>
      <c r="W62" s="2"/>
      <c r="X62" s="2"/>
      <c r="Y62" s="37">
        <v>4</v>
      </c>
      <c r="Z62" s="37"/>
      <c r="AA62" s="2"/>
      <c r="AB62" s="2"/>
      <c r="AC62" s="2"/>
      <c r="AD62" s="2"/>
      <c r="AE62" s="2"/>
      <c r="AF62" s="37">
        <v>4</v>
      </c>
      <c r="AG62" s="37"/>
      <c r="AH62" s="45"/>
      <c r="AI62" s="58"/>
      <c r="AJ62" s="2"/>
      <c r="AK62" s="2"/>
      <c r="AL62" s="37"/>
      <c r="AM62" s="37"/>
      <c r="AN62" s="37"/>
      <c r="AO62" s="91">
        <v>12</v>
      </c>
      <c r="AP62" s="91" t="s">
        <v>159</v>
      </c>
    </row>
    <row r="63" spans="1:49" s="32" customFormat="1" ht="18.75" customHeight="1" x14ac:dyDescent="0.25">
      <c r="A63" s="100"/>
      <c r="B63" s="136" t="s">
        <v>30</v>
      </c>
      <c r="C63" s="99" t="s">
        <v>26</v>
      </c>
      <c r="D63" s="100"/>
      <c r="E63" s="2" t="s">
        <v>228</v>
      </c>
      <c r="F63" s="2"/>
      <c r="G63" s="2"/>
      <c r="H63" s="2"/>
      <c r="I63" s="2"/>
      <c r="J63" s="2"/>
      <c r="K63" s="37"/>
      <c r="L63" s="37"/>
      <c r="M63" s="2"/>
      <c r="N63" s="2"/>
      <c r="O63" s="2"/>
      <c r="P63" s="2"/>
      <c r="Q63" s="2"/>
      <c r="R63" s="37">
        <v>5</v>
      </c>
      <c r="S63" s="37"/>
      <c r="T63" s="2"/>
      <c r="U63" s="2"/>
      <c r="V63" s="2"/>
      <c r="W63" s="2"/>
      <c r="X63" s="2"/>
      <c r="Y63" s="37">
        <v>5</v>
      </c>
      <c r="Z63" s="37"/>
      <c r="AA63" s="2"/>
      <c r="AB63" s="2"/>
      <c r="AC63" s="2"/>
      <c r="AD63" s="2"/>
      <c r="AE63" s="2"/>
      <c r="AF63" s="37">
        <v>5</v>
      </c>
      <c r="AG63" s="37"/>
      <c r="AH63" s="2"/>
      <c r="AI63" s="2"/>
      <c r="AJ63" s="2"/>
      <c r="AK63" s="2"/>
      <c r="AL63" s="37"/>
      <c r="AM63" s="37">
        <v>5</v>
      </c>
      <c r="AN63" s="37"/>
      <c r="AO63" s="125">
        <f t="shared" ref="AO63" si="4">SUM(R63:AN64)</f>
        <v>40</v>
      </c>
      <c r="AP63" s="122" t="s">
        <v>260</v>
      </c>
    </row>
    <row r="64" spans="1:49" s="32" customFormat="1" ht="18.75" customHeight="1" x14ac:dyDescent="0.25">
      <c r="A64" s="101"/>
      <c r="B64" s="136"/>
      <c r="C64" s="101"/>
      <c r="D64" s="101"/>
      <c r="E64" s="2" t="s">
        <v>204</v>
      </c>
      <c r="F64" s="2"/>
      <c r="G64" s="2"/>
      <c r="H64" s="2"/>
      <c r="I64" s="2"/>
      <c r="J64" s="2"/>
      <c r="K64" s="37"/>
      <c r="L64" s="37"/>
      <c r="M64" s="2"/>
      <c r="N64" s="2"/>
      <c r="O64" s="2"/>
      <c r="P64" s="2"/>
      <c r="Q64" s="2"/>
      <c r="R64" s="37">
        <v>5</v>
      </c>
      <c r="S64" s="37"/>
      <c r="T64" s="2"/>
      <c r="U64" s="2"/>
      <c r="V64" s="2"/>
      <c r="W64" s="2"/>
      <c r="X64" s="2"/>
      <c r="Y64" s="37">
        <v>5</v>
      </c>
      <c r="Z64" s="37"/>
      <c r="AA64" s="2"/>
      <c r="AB64" s="2"/>
      <c r="AC64" s="2"/>
      <c r="AD64" s="2"/>
      <c r="AE64" s="2"/>
      <c r="AF64" s="37">
        <v>5</v>
      </c>
      <c r="AG64" s="37"/>
      <c r="AH64" s="2"/>
      <c r="AI64" s="2"/>
      <c r="AJ64" s="2"/>
      <c r="AK64" s="2"/>
      <c r="AL64" s="37"/>
      <c r="AM64" s="37">
        <v>5</v>
      </c>
      <c r="AN64" s="37"/>
      <c r="AO64" s="125"/>
      <c r="AP64" s="122"/>
    </row>
    <row r="65" spans="1:42" s="32" customFormat="1" ht="33.75" customHeight="1" x14ac:dyDescent="0.25">
      <c r="A65" s="118" t="s">
        <v>220</v>
      </c>
      <c r="B65" s="136"/>
      <c r="C65" s="118"/>
      <c r="D65" s="118" t="s">
        <v>218</v>
      </c>
      <c r="E65" s="2" t="s">
        <v>17</v>
      </c>
      <c r="F65" s="2"/>
      <c r="G65" s="2"/>
      <c r="H65" s="2"/>
      <c r="I65" s="2"/>
      <c r="J65" s="2"/>
      <c r="K65" s="37"/>
      <c r="L65" s="37"/>
      <c r="M65" s="2"/>
      <c r="N65" s="2"/>
      <c r="O65" s="2"/>
      <c r="P65" s="2"/>
      <c r="Q65" s="2"/>
      <c r="R65" s="37">
        <v>4</v>
      </c>
      <c r="S65" s="37"/>
      <c r="T65" s="2"/>
      <c r="U65" s="2"/>
      <c r="V65" s="2"/>
      <c r="W65" s="2"/>
      <c r="X65" s="2"/>
      <c r="Y65" s="37">
        <v>4</v>
      </c>
      <c r="Z65" s="37"/>
      <c r="AA65" s="2"/>
      <c r="AB65" s="2"/>
      <c r="AC65" s="2"/>
      <c r="AD65" s="2"/>
      <c r="AE65" s="2"/>
      <c r="AF65" s="37">
        <v>4</v>
      </c>
      <c r="AG65" s="37"/>
      <c r="AH65" s="2"/>
      <c r="AI65" s="2"/>
      <c r="AJ65" s="2"/>
      <c r="AK65" s="2"/>
      <c r="AL65" s="37"/>
      <c r="AM65" s="37"/>
      <c r="AN65" s="37"/>
      <c r="AO65" s="125">
        <f t="shared" ref="AO65" si="5">SUM(R65:AN66)</f>
        <v>24</v>
      </c>
      <c r="AP65" s="122" t="s">
        <v>159</v>
      </c>
    </row>
    <row r="66" spans="1:42" s="32" customFormat="1" ht="33.75" customHeight="1" x14ac:dyDescent="0.25">
      <c r="A66" s="118"/>
      <c r="B66" s="136"/>
      <c r="C66" s="118"/>
      <c r="D66" s="118"/>
      <c r="E66" s="2" t="s">
        <v>16</v>
      </c>
      <c r="F66" s="2"/>
      <c r="G66" s="2"/>
      <c r="H66" s="2"/>
      <c r="I66" s="2"/>
      <c r="J66" s="2"/>
      <c r="K66" s="37"/>
      <c r="L66" s="37"/>
      <c r="M66" s="2"/>
      <c r="N66" s="2"/>
      <c r="O66" s="2"/>
      <c r="P66" s="2"/>
      <c r="Q66" s="2"/>
      <c r="R66" s="37">
        <v>4</v>
      </c>
      <c r="S66" s="37"/>
      <c r="T66" s="2"/>
      <c r="U66" s="2"/>
      <c r="V66" s="2"/>
      <c r="W66" s="2"/>
      <c r="X66" s="2"/>
      <c r="Y66" s="37">
        <v>4</v>
      </c>
      <c r="Z66" s="37"/>
      <c r="AA66" s="2"/>
      <c r="AB66" s="2"/>
      <c r="AC66" s="2"/>
      <c r="AD66" s="2"/>
      <c r="AE66" s="2"/>
      <c r="AF66" s="37">
        <v>4</v>
      </c>
      <c r="AG66" s="37"/>
      <c r="AH66" s="2"/>
      <c r="AI66" s="2"/>
      <c r="AJ66" s="2"/>
      <c r="AK66" s="2"/>
      <c r="AL66" s="37"/>
      <c r="AM66" s="37"/>
      <c r="AN66" s="37"/>
      <c r="AO66" s="125"/>
      <c r="AP66" s="122"/>
    </row>
    <row r="67" spans="1:42" s="32" customFormat="1" ht="33.75" customHeight="1" x14ac:dyDescent="0.25">
      <c r="A67" s="118" t="s">
        <v>221</v>
      </c>
      <c r="B67" s="136"/>
      <c r="C67" s="131"/>
      <c r="D67" s="118" t="s">
        <v>218</v>
      </c>
      <c r="E67" s="2" t="s">
        <v>17</v>
      </c>
      <c r="F67" s="2"/>
      <c r="G67" s="2"/>
      <c r="H67" s="2"/>
      <c r="I67" s="2"/>
      <c r="J67" s="2"/>
      <c r="K67" s="37"/>
      <c r="L67" s="37"/>
      <c r="M67" s="2"/>
      <c r="N67" s="2"/>
      <c r="O67" s="2"/>
      <c r="P67" s="2"/>
      <c r="Q67" s="2"/>
      <c r="R67" s="37">
        <v>4</v>
      </c>
      <c r="S67" s="37"/>
      <c r="T67" s="2"/>
      <c r="U67" s="2"/>
      <c r="V67" s="2"/>
      <c r="W67" s="2"/>
      <c r="X67" s="2"/>
      <c r="Y67" s="37">
        <v>4</v>
      </c>
      <c r="Z67" s="37"/>
      <c r="AA67" s="2"/>
      <c r="AB67" s="2"/>
      <c r="AC67" s="2"/>
      <c r="AD67" s="2"/>
      <c r="AE67" s="2"/>
      <c r="AF67" s="37">
        <v>4</v>
      </c>
      <c r="AG67" s="37"/>
      <c r="AH67" s="2"/>
      <c r="AI67" s="2"/>
      <c r="AJ67" s="2"/>
      <c r="AK67" s="2"/>
      <c r="AL67" s="37"/>
      <c r="AM67" s="37"/>
      <c r="AN67" s="37"/>
      <c r="AO67" s="125">
        <f t="shared" ref="AO67" si="6">SUM(R67:AN68)</f>
        <v>24</v>
      </c>
      <c r="AP67" s="122" t="s">
        <v>159</v>
      </c>
    </row>
    <row r="68" spans="1:42" s="32" customFormat="1" ht="33.75" customHeight="1" x14ac:dyDescent="0.25">
      <c r="A68" s="118"/>
      <c r="B68" s="136"/>
      <c r="C68" s="132"/>
      <c r="D68" s="118"/>
      <c r="E68" s="2" t="s">
        <v>16</v>
      </c>
      <c r="F68" s="2"/>
      <c r="G68" s="2"/>
      <c r="H68" s="2"/>
      <c r="I68" s="2"/>
      <c r="J68" s="2"/>
      <c r="K68" s="37"/>
      <c r="L68" s="37"/>
      <c r="M68" s="2"/>
      <c r="N68" s="2"/>
      <c r="O68" s="2"/>
      <c r="P68" s="2"/>
      <c r="Q68" s="2"/>
      <c r="R68" s="37">
        <v>4</v>
      </c>
      <c r="S68" s="37"/>
      <c r="T68" s="2"/>
      <c r="U68" s="2"/>
      <c r="V68" s="2"/>
      <c r="W68" s="2"/>
      <c r="X68" s="2"/>
      <c r="Y68" s="37">
        <v>4</v>
      </c>
      <c r="Z68" s="37"/>
      <c r="AA68" s="2"/>
      <c r="AB68" s="2"/>
      <c r="AC68" s="2"/>
      <c r="AD68" s="2"/>
      <c r="AE68" s="2"/>
      <c r="AF68" s="37">
        <v>4</v>
      </c>
      <c r="AG68" s="37"/>
      <c r="AH68" s="2"/>
      <c r="AI68" s="2"/>
      <c r="AJ68" s="2"/>
      <c r="AK68" s="2"/>
      <c r="AL68" s="37"/>
      <c r="AM68" s="37"/>
      <c r="AN68" s="37"/>
      <c r="AO68" s="125"/>
      <c r="AP68" s="122"/>
    </row>
    <row r="69" spans="1:42" s="32" customFormat="1" ht="28.5" customHeight="1" x14ac:dyDescent="0.25">
      <c r="A69" s="118" t="s">
        <v>243</v>
      </c>
      <c r="B69" s="36" t="s">
        <v>249</v>
      </c>
      <c r="C69" s="36" t="s">
        <v>31</v>
      </c>
      <c r="D69" s="118" t="s">
        <v>245</v>
      </c>
      <c r="E69" s="2" t="s">
        <v>16</v>
      </c>
      <c r="F69" s="2">
        <v>4</v>
      </c>
      <c r="G69" s="2"/>
      <c r="H69" s="2"/>
      <c r="I69" s="2">
        <v>4</v>
      </c>
      <c r="J69" s="2"/>
      <c r="K69" s="37"/>
      <c r="L69" s="37"/>
      <c r="M69" s="2">
        <v>4</v>
      </c>
      <c r="N69" s="2"/>
      <c r="O69" s="2"/>
      <c r="P69" s="2"/>
      <c r="Q69" s="2">
        <v>4</v>
      </c>
      <c r="R69" s="37"/>
      <c r="S69" s="37"/>
      <c r="T69" s="2">
        <v>4</v>
      </c>
      <c r="U69" s="2"/>
      <c r="V69" s="2"/>
      <c r="W69" s="2"/>
      <c r="X69" s="2">
        <v>4</v>
      </c>
      <c r="Y69" s="37"/>
      <c r="Z69" s="37"/>
      <c r="AA69" s="2">
        <v>4</v>
      </c>
      <c r="AB69" s="2"/>
      <c r="AC69" s="2"/>
      <c r="AD69" s="2"/>
      <c r="AE69" s="2">
        <v>4</v>
      </c>
      <c r="AF69" s="37"/>
      <c r="AG69" s="37"/>
      <c r="AH69" s="2">
        <v>4</v>
      </c>
      <c r="AI69" s="2"/>
      <c r="AJ69" s="2"/>
      <c r="AK69" s="2"/>
      <c r="AL69" s="37"/>
      <c r="AM69" s="37"/>
      <c r="AN69" s="37"/>
      <c r="AO69" s="45">
        <f>SUM(F69:AM69)</f>
        <v>36</v>
      </c>
      <c r="AP69" s="94" t="s">
        <v>269</v>
      </c>
    </row>
    <row r="70" spans="1:42" s="32" customFormat="1" ht="28.5" customHeight="1" x14ac:dyDescent="0.25">
      <c r="A70" s="118"/>
      <c r="B70" s="36" t="s">
        <v>171</v>
      </c>
      <c r="C70" s="36" t="s">
        <v>31</v>
      </c>
      <c r="D70" s="118"/>
      <c r="E70" s="2" t="s">
        <v>216</v>
      </c>
      <c r="F70" s="2"/>
      <c r="G70" s="2"/>
      <c r="H70" s="2"/>
      <c r="I70" s="2"/>
      <c r="J70" s="2"/>
      <c r="K70" s="37">
        <v>4</v>
      </c>
      <c r="L70" s="37"/>
      <c r="M70" s="2"/>
      <c r="N70" s="2"/>
      <c r="O70" s="2"/>
      <c r="P70" s="2"/>
      <c r="Q70" s="2"/>
      <c r="R70" s="37">
        <v>4</v>
      </c>
      <c r="S70" s="37"/>
      <c r="T70" s="2"/>
      <c r="U70" s="2"/>
      <c r="V70" s="2"/>
      <c r="W70" s="2"/>
      <c r="X70" s="2"/>
      <c r="Y70" s="37">
        <v>4</v>
      </c>
      <c r="Z70" s="37"/>
      <c r="AA70" s="2"/>
      <c r="AB70" s="2"/>
      <c r="AC70" s="2"/>
      <c r="AD70" s="2"/>
      <c r="AE70" s="2"/>
      <c r="AF70" s="37">
        <v>4</v>
      </c>
      <c r="AG70" s="37"/>
      <c r="AH70" s="2"/>
      <c r="AI70" s="2"/>
      <c r="AJ70" s="2"/>
      <c r="AK70" s="2"/>
      <c r="AL70" s="37"/>
      <c r="AM70" s="37"/>
      <c r="AN70" s="37"/>
      <c r="AO70" s="45">
        <v>16</v>
      </c>
      <c r="AP70" s="94" t="s">
        <v>266</v>
      </c>
    </row>
    <row r="71" spans="1:42" x14ac:dyDescent="0.3">
      <c r="D71" s="4" t="s">
        <v>29</v>
      </c>
      <c r="AI71" s="29"/>
    </row>
    <row r="73" spans="1:42" ht="12.75" customHeight="1" x14ac:dyDescent="0.3"/>
    <row r="74" spans="1:42" ht="12" customHeight="1" x14ac:dyDescent="0.3"/>
    <row r="75" spans="1:42" ht="10.5" customHeight="1" x14ac:dyDescent="0.3"/>
    <row r="76" spans="1:42" x14ac:dyDescent="0.3">
      <c r="E76" s="29" t="s">
        <v>113</v>
      </c>
      <c r="K76" s="29"/>
      <c r="L76" s="29"/>
      <c r="M76" s="29"/>
      <c r="N76" s="29"/>
      <c r="O76" s="29"/>
      <c r="P76" s="29"/>
      <c r="Q76" s="29"/>
      <c r="R76" s="29"/>
      <c r="Y76" s="29" t="s">
        <v>22</v>
      </c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</row>
    <row r="78" spans="1:42" s="27" customFormat="1" ht="18" hidden="1" customHeight="1" x14ac:dyDescent="0.25">
      <c r="A78" s="108" t="s">
        <v>0</v>
      </c>
      <c r="B78" s="108"/>
      <c r="C78" s="108"/>
      <c r="D78" s="108"/>
      <c r="E78" s="3"/>
      <c r="P78" s="28" t="s">
        <v>1</v>
      </c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43"/>
      <c r="AP78" s="55"/>
    </row>
    <row r="79" spans="1:42" s="27" customFormat="1" ht="16.5" hidden="1" customHeight="1" x14ac:dyDescent="0.25">
      <c r="A79" s="109" t="s">
        <v>2</v>
      </c>
      <c r="B79" s="109"/>
      <c r="C79" s="109"/>
      <c r="D79" s="109"/>
      <c r="E79" s="3"/>
      <c r="L79" s="109" t="s">
        <v>3</v>
      </c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09"/>
      <c r="AK79" s="109"/>
      <c r="AL79" s="109"/>
      <c r="AM79" s="109"/>
      <c r="AN79" s="109"/>
      <c r="AO79" s="43"/>
      <c r="AP79" s="55"/>
    </row>
    <row r="80" spans="1:42" ht="16.5" hidden="1" customHeight="1" x14ac:dyDescent="0.3"/>
    <row r="81" spans="1:42" ht="16.5" hidden="1" customHeight="1" x14ac:dyDescent="0.3">
      <c r="A81" s="97" t="s">
        <v>20</v>
      </c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7"/>
      <c r="AL81" s="97"/>
      <c r="AM81" s="97"/>
      <c r="AN81" s="97"/>
      <c r="AO81" s="97"/>
      <c r="AP81" s="97"/>
    </row>
    <row r="82" spans="1:42" ht="16.5" hidden="1" customHeight="1" x14ac:dyDescent="0.3">
      <c r="A82" s="97" t="s">
        <v>24</v>
      </c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  <c r="AL82" s="97"/>
      <c r="AM82" s="97"/>
      <c r="AN82" s="97"/>
      <c r="AO82" s="97"/>
      <c r="AP82" s="97"/>
    </row>
    <row r="83" spans="1:42" ht="16.5" hidden="1" customHeight="1" x14ac:dyDescent="0.3"/>
    <row r="84" spans="1:42" s="32" customFormat="1" ht="16.5" hidden="1" customHeight="1" x14ac:dyDescent="0.25">
      <c r="A84" s="102" t="s">
        <v>4</v>
      </c>
      <c r="B84" s="102" t="s">
        <v>5</v>
      </c>
      <c r="C84" s="103" t="s">
        <v>11</v>
      </c>
      <c r="D84" s="104"/>
      <c r="E84" s="105"/>
      <c r="F84" s="106">
        <v>1</v>
      </c>
      <c r="G84" s="106"/>
      <c r="H84" s="106"/>
      <c r="I84" s="106"/>
      <c r="J84" s="106"/>
      <c r="K84" s="106"/>
      <c r="L84" s="106"/>
      <c r="M84" s="106">
        <v>2</v>
      </c>
      <c r="N84" s="106"/>
      <c r="O84" s="106"/>
      <c r="P84" s="106"/>
      <c r="Q84" s="106"/>
      <c r="R84" s="106"/>
      <c r="S84" s="106"/>
      <c r="T84" s="106">
        <v>3</v>
      </c>
      <c r="U84" s="106"/>
      <c r="V84" s="106"/>
      <c r="W84" s="106"/>
      <c r="X84" s="106"/>
      <c r="Y84" s="106"/>
      <c r="Z84" s="106"/>
      <c r="AA84" s="1"/>
      <c r="AB84" s="1"/>
      <c r="AC84" s="1"/>
      <c r="AD84" s="1"/>
      <c r="AE84" s="1"/>
      <c r="AF84" s="1"/>
      <c r="AG84" s="1"/>
      <c r="AH84" s="106">
        <v>4</v>
      </c>
      <c r="AI84" s="106"/>
      <c r="AJ84" s="106"/>
      <c r="AK84" s="106"/>
      <c r="AL84" s="106"/>
      <c r="AM84" s="106"/>
      <c r="AN84" s="106"/>
      <c r="AO84" s="104"/>
      <c r="AP84" s="105"/>
    </row>
    <row r="85" spans="1:42" s="32" customFormat="1" ht="16.5" hidden="1" customHeight="1" x14ac:dyDescent="0.25">
      <c r="A85" s="102"/>
      <c r="B85" s="102"/>
      <c r="C85" s="103" t="s">
        <v>10</v>
      </c>
      <c r="D85" s="104"/>
      <c r="E85" s="105"/>
      <c r="F85" s="1">
        <v>30</v>
      </c>
      <c r="G85" s="1">
        <v>1</v>
      </c>
      <c r="H85" s="1">
        <v>2</v>
      </c>
      <c r="I85" s="1">
        <v>3</v>
      </c>
      <c r="J85" s="1">
        <v>4</v>
      </c>
      <c r="K85" s="1">
        <v>5</v>
      </c>
      <c r="L85" s="33">
        <v>6</v>
      </c>
      <c r="M85" s="1">
        <v>7</v>
      </c>
      <c r="N85" s="1">
        <v>8</v>
      </c>
      <c r="O85" s="1">
        <v>9</v>
      </c>
      <c r="P85" s="1">
        <v>10</v>
      </c>
      <c r="Q85" s="1">
        <v>11</v>
      </c>
      <c r="R85" s="33">
        <v>12</v>
      </c>
      <c r="S85" s="33">
        <v>13</v>
      </c>
      <c r="T85" s="1">
        <v>14</v>
      </c>
      <c r="U85" s="1">
        <v>15</v>
      </c>
      <c r="V85" s="1">
        <v>16</v>
      </c>
      <c r="W85" s="1">
        <v>17</v>
      </c>
      <c r="X85" s="1">
        <v>18</v>
      </c>
      <c r="Y85" s="33">
        <v>19</v>
      </c>
      <c r="Z85" s="33">
        <v>20</v>
      </c>
      <c r="AA85" s="1"/>
      <c r="AB85" s="1"/>
      <c r="AC85" s="1"/>
      <c r="AD85" s="1"/>
      <c r="AE85" s="1"/>
      <c r="AF85" s="1"/>
      <c r="AG85" s="1"/>
      <c r="AH85" s="1">
        <v>21</v>
      </c>
      <c r="AI85" s="1">
        <v>22</v>
      </c>
      <c r="AJ85" s="1">
        <v>23</v>
      </c>
      <c r="AK85" s="1">
        <v>24</v>
      </c>
      <c r="AL85" s="1">
        <v>25</v>
      </c>
      <c r="AM85" s="1">
        <v>26</v>
      </c>
      <c r="AN85" s="1">
        <v>27</v>
      </c>
      <c r="AO85" s="42">
        <v>29</v>
      </c>
      <c r="AP85" s="60">
        <v>30</v>
      </c>
    </row>
    <row r="86" spans="1:42" s="32" customFormat="1" ht="16.5" hidden="1" customHeight="1" x14ac:dyDescent="0.25">
      <c r="A86" s="102"/>
      <c r="B86" s="102"/>
      <c r="C86" s="1" t="s">
        <v>6</v>
      </c>
      <c r="D86" s="1" t="s">
        <v>19</v>
      </c>
      <c r="E86" s="1" t="s">
        <v>18</v>
      </c>
      <c r="F86" s="1">
        <v>2</v>
      </c>
      <c r="G86" s="1">
        <v>3</v>
      </c>
      <c r="H86" s="1">
        <v>4</v>
      </c>
      <c r="I86" s="1">
        <v>5</v>
      </c>
      <c r="J86" s="1">
        <v>6</v>
      </c>
      <c r="K86" s="1">
        <v>7</v>
      </c>
      <c r="L86" s="33" t="s">
        <v>7</v>
      </c>
      <c r="M86" s="1">
        <v>2</v>
      </c>
      <c r="N86" s="1">
        <v>3</v>
      </c>
      <c r="O86" s="1">
        <v>4</v>
      </c>
      <c r="P86" s="1">
        <v>5</v>
      </c>
      <c r="Q86" s="1">
        <v>6</v>
      </c>
      <c r="R86" s="33">
        <v>7</v>
      </c>
      <c r="S86" s="33" t="s">
        <v>7</v>
      </c>
      <c r="T86" s="1">
        <v>2</v>
      </c>
      <c r="U86" s="1">
        <v>3</v>
      </c>
      <c r="V86" s="1">
        <v>4</v>
      </c>
      <c r="W86" s="1">
        <v>5</v>
      </c>
      <c r="X86" s="1">
        <v>6</v>
      </c>
      <c r="Y86" s="33">
        <v>7</v>
      </c>
      <c r="Z86" s="33" t="s">
        <v>7</v>
      </c>
      <c r="AA86" s="1"/>
      <c r="AB86" s="1"/>
      <c r="AC86" s="1"/>
      <c r="AD86" s="1"/>
      <c r="AE86" s="1"/>
      <c r="AF86" s="1"/>
      <c r="AG86" s="1"/>
      <c r="AH86" s="1">
        <v>2</v>
      </c>
      <c r="AI86" s="1">
        <v>3</v>
      </c>
      <c r="AJ86" s="1">
        <v>4</v>
      </c>
      <c r="AK86" s="1">
        <v>5</v>
      </c>
      <c r="AL86" s="1">
        <v>6</v>
      </c>
      <c r="AM86" s="33">
        <v>7</v>
      </c>
      <c r="AN86" s="33" t="s">
        <v>7</v>
      </c>
      <c r="AO86" s="42">
        <v>3</v>
      </c>
      <c r="AP86" s="60">
        <v>4</v>
      </c>
    </row>
    <row r="87" spans="1:42" s="32" customFormat="1" ht="16.5" hidden="1" customHeight="1" x14ac:dyDescent="0.25">
      <c r="A87" s="99" t="s">
        <v>90</v>
      </c>
      <c r="B87" s="34" t="s">
        <v>26</v>
      </c>
      <c r="C87" s="35" t="s">
        <v>30</v>
      </c>
      <c r="D87" s="36" t="s">
        <v>85</v>
      </c>
      <c r="E87" s="2" t="s">
        <v>15</v>
      </c>
      <c r="F87" s="1">
        <v>4</v>
      </c>
      <c r="G87" s="1">
        <v>4</v>
      </c>
      <c r="H87" s="1"/>
      <c r="I87" s="1"/>
      <c r="J87" s="1"/>
      <c r="K87" s="34"/>
      <c r="L87" s="34"/>
      <c r="M87" s="34">
        <v>4</v>
      </c>
      <c r="N87" s="34"/>
      <c r="O87" s="34"/>
      <c r="P87" s="34"/>
      <c r="Q87" s="34"/>
      <c r="R87" s="34"/>
      <c r="S87" s="34"/>
      <c r="T87" s="34">
        <v>4</v>
      </c>
      <c r="U87" s="34">
        <v>4</v>
      </c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>
        <v>4</v>
      </c>
      <c r="AI87" s="34">
        <v>4</v>
      </c>
      <c r="AJ87" s="34"/>
      <c r="AK87" s="34"/>
      <c r="AL87" s="34"/>
      <c r="AM87" s="34"/>
      <c r="AN87" s="34"/>
      <c r="AO87" s="42">
        <v>4</v>
      </c>
      <c r="AP87" s="60"/>
    </row>
    <row r="88" spans="1:42" s="32" customFormat="1" ht="16.5" hidden="1" customHeight="1" x14ac:dyDescent="0.25">
      <c r="A88" s="100"/>
      <c r="B88" s="38" t="s">
        <v>31</v>
      </c>
      <c r="C88" s="35" t="s">
        <v>32</v>
      </c>
      <c r="D88" s="36" t="s">
        <v>85</v>
      </c>
      <c r="E88" s="2" t="s">
        <v>15</v>
      </c>
      <c r="F88" s="1"/>
      <c r="G88" s="1"/>
      <c r="H88" s="1"/>
      <c r="I88" s="1"/>
      <c r="J88" s="1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42"/>
      <c r="AP88" s="60"/>
    </row>
    <row r="89" spans="1:42" s="32" customFormat="1" ht="16.5" hidden="1" customHeight="1" x14ac:dyDescent="0.25">
      <c r="A89" s="100"/>
      <c r="B89" s="38" t="s">
        <v>35</v>
      </c>
      <c r="C89" s="35" t="s">
        <v>36</v>
      </c>
      <c r="D89" s="36" t="s">
        <v>85</v>
      </c>
      <c r="E89" s="2" t="s">
        <v>15</v>
      </c>
      <c r="F89" s="1"/>
      <c r="G89" s="1"/>
      <c r="H89" s="1"/>
      <c r="I89" s="1"/>
      <c r="J89" s="1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42"/>
      <c r="AP89" s="60"/>
    </row>
    <row r="90" spans="1:42" s="32" customFormat="1" ht="16.5" hidden="1" customHeight="1" x14ac:dyDescent="0.25">
      <c r="A90" s="101"/>
      <c r="B90" s="34" t="s">
        <v>26</v>
      </c>
      <c r="C90" s="35" t="s">
        <v>27</v>
      </c>
      <c r="D90" s="36" t="s">
        <v>85</v>
      </c>
      <c r="E90" s="2" t="s">
        <v>37</v>
      </c>
      <c r="F90" s="1">
        <v>1</v>
      </c>
      <c r="G90" s="1"/>
      <c r="H90" s="1"/>
      <c r="I90" s="1"/>
      <c r="J90" s="1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42"/>
      <c r="AP90" s="60"/>
    </row>
    <row r="91" spans="1:42" s="32" customFormat="1" ht="16.5" hidden="1" customHeight="1" x14ac:dyDescent="0.25">
      <c r="A91" s="99" t="s">
        <v>89</v>
      </c>
      <c r="B91" s="34" t="s">
        <v>26</v>
      </c>
      <c r="C91" s="35" t="s">
        <v>30</v>
      </c>
      <c r="D91" s="36" t="s">
        <v>85</v>
      </c>
      <c r="E91" s="2" t="s">
        <v>15</v>
      </c>
      <c r="F91" s="1">
        <v>4</v>
      </c>
      <c r="G91" s="1">
        <v>4</v>
      </c>
      <c r="H91" s="1"/>
      <c r="I91" s="1"/>
      <c r="J91" s="1"/>
      <c r="K91" s="34"/>
      <c r="L91" s="34"/>
      <c r="M91" s="34">
        <v>4</v>
      </c>
      <c r="N91" s="34"/>
      <c r="O91" s="34"/>
      <c r="P91" s="34"/>
      <c r="Q91" s="34"/>
      <c r="R91" s="34"/>
      <c r="S91" s="34"/>
      <c r="T91" s="34">
        <v>4</v>
      </c>
      <c r="U91" s="34">
        <v>4</v>
      </c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>
        <v>4</v>
      </c>
      <c r="AI91" s="34">
        <v>4</v>
      </c>
      <c r="AJ91" s="34"/>
      <c r="AK91" s="34"/>
      <c r="AL91" s="34"/>
      <c r="AM91" s="34"/>
      <c r="AN91" s="34"/>
      <c r="AO91" s="42">
        <v>4</v>
      </c>
      <c r="AP91" s="60"/>
    </row>
    <row r="92" spans="1:42" s="32" customFormat="1" ht="16.5" hidden="1" customHeight="1" x14ac:dyDescent="0.25">
      <c r="A92" s="100"/>
      <c r="B92" s="38" t="s">
        <v>31</v>
      </c>
      <c r="C92" s="35" t="s">
        <v>32</v>
      </c>
      <c r="D92" s="36" t="s">
        <v>85</v>
      </c>
      <c r="E92" s="2" t="s">
        <v>15</v>
      </c>
      <c r="F92" s="1"/>
      <c r="G92" s="1"/>
      <c r="H92" s="1"/>
      <c r="I92" s="1"/>
      <c r="J92" s="1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42"/>
      <c r="AP92" s="60"/>
    </row>
    <row r="93" spans="1:42" s="32" customFormat="1" ht="16.5" hidden="1" customHeight="1" x14ac:dyDescent="0.25">
      <c r="A93" s="100"/>
      <c r="B93" s="38" t="s">
        <v>33</v>
      </c>
      <c r="C93" s="35" t="s">
        <v>34</v>
      </c>
      <c r="D93" s="36" t="s">
        <v>92</v>
      </c>
      <c r="E93" s="2" t="s">
        <v>15</v>
      </c>
      <c r="F93" s="1"/>
      <c r="G93" s="1"/>
      <c r="H93" s="1"/>
      <c r="I93" s="1"/>
      <c r="J93" s="1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42"/>
      <c r="AP93" s="60"/>
    </row>
    <row r="94" spans="1:42" s="32" customFormat="1" ht="16.5" hidden="1" customHeight="1" x14ac:dyDescent="0.25">
      <c r="A94" s="101"/>
      <c r="B94" s="34" t="s">
        <v>26</v>
      </c>
      <c r="C94" s="35" t="s">
        <v>27</v>
      </c>
      <c r="D94" s="36" t="s">
        <v>85</v>
      </c>
      <c r="E94" s="2" t="s">
        <v>37</v>
      </c>
      <c r="F94" s="1">
        <v>1</v>
      </c>
      <c r="G94" s="1"/>
      <c r="H94" s="1"/>
      <c r="I94" s="1"/>
      <c r="J94" s="1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42"/>
      <c r="AP94" s="60"/>
    </row>
    <row r="95" spans="1:42" s="32" customFormat="1" ht="16.5" hidden="1" customHeight="1" x14ac:dyDescent="0.25">
      <c r="A95" s="31"/>
      <c r="B95" s="31"/>
      <c r="C95" s="1"/>
      <c r="D95" s="1"/>
      <c r="E95" s="1"/>
      <c r="F95" s="1"/>
      <c r="G95" s="1"/>
      <c r="H95" s="1"/>
      <c r="I95" s="1"/>
      <c r="J95" s="1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42"/>
      <c r="AP95" s="60"/>
    </row>
    <row r="96" spans="1:42" s="32" customFormat="1" ht="16.5" hidden="1" customHeight="1" x14ac:dyDescent="0.25">
      <c r="A96" s="31"/>
      <c r="B96" s="31"/>
      <c r="C96" s="1"/>
      <c r="D96" s="1"/>
      <c r="E96" s="1"/>
      <c r="F96" s="1"/>
      <c r="G96" s="1"/>
      <c r="H96" s="1"/>
      <c r="I96" s="1"/>
      <c r="J96" s="1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42"/>
      <c r="AP96" s="60"/>
    </row>
    <row r="97" spans="1:42" s="32" customFormat="1" ht="16.5" hidden="1" customHeight="1" x14ac:dyDescent="0.25">
      <c r="A97" s="31"/>
      <c r="B97" s="31"/>
      <c r="C97" s="1"/>
      <c r="D97" s="1"/>
      <c r="E97" s="1"/>
      <c r="F97" s="1"/>
      <c r="G97" s="1"/>
      <c r="H97" s="1"/>
      <c r="I97" s="1"/>
      <c r="J97" s="1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42"/>
      <c r="AP97" s="60"/>
    </row>
    <row r="98" spans="1:42" s="32" customFormat="1" ht="16.5" hidden="1" customHeight="1" x14ac:dyDescent="0.25">
      <c r="A98" s="31"/>
      <c r="B98" s="31"/>
      <c r="C98" s="1"/>
      <c r="D98" s="1"/>
      <c r="E98" s="1"/>
      <c r="F98" s="1"/>
      <c r="G98" s="1"/>
      <c r="H98" s="1"/>
      <c r="I98" s="1"/>
      <c r="J98" s="1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42"/>
      <c r="AP98" s="60"/>
    </row>
    <row r="99" spans="1:42" s="32" customFormat="1" ht="16.5" hidden="1" customHeight="1" x14ac:dyDescent="0.25">
      <c r="A99" s="31"/>
      <c r="B99" s="31"/>
      <c r="C99" s="1"/>
      <c r="D99" s="1"/>
      <c r="E99" s="1"/>
      <c r="F99" s="1"/>
      <c r="G99" s="1"/>
      <c r="H99" s="1"/>
      <c r="I99" s="1"/>
      <c r="J99" s="1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42"/>
      <c r="AP99" s="60"/>
    </row>
    <row r="100" spans="1:42" s="32" customFormat="1" ht="16.5" hidden="1" customHeight="1" x14ac:dyDescent="0.25">
      <c r="A100" s="31"/>
      <c r="B100" s="31"/>
      <c r="C100" s="1"/>
      <c r="D100" s="1"/>
      <c r="E100" s="1"/>
      <c r="F100" s="1"/>
      <c r="G100" s="1"/>
      <c r="H100" s="1"/>
      <c r="I100" s="1"/>
      <c r="J100" s="1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42"/>
      <c r="AP100" s="60"/>
    </row>
    <row r="101" spans="1:42" s="32" customFormat="1" ht="16.5" hidden="1" customHeight="1" x14ac:dyDescent="0.25">
      <c r="A101" s="31"/>
      <c r="B101" s="31"/>
      <c r="C101" s="1"/>
      <c r="D101" s="1"/>
      <c r="E101" s="1"/>
      <c r="F101" s="1"/>
      <c r="G101" s="1"/>
      <c r="H101" s="1"/>
      <c r="I101" s="1"/>
      <c r="J101" s="1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42"/>
      <c r="AP101" s="60"/>
    </row>
    <row r="102" spans="1:42" s="32" customFormat="1" ht="16.5" hidden="1" customHeight="1" x14ac:dyDescent="0.25">
      <c r="A102" s="31"/>
      <c r="B102" s="31"/>
      <c r="C102" s="1"/>
      <c r="D102" s="1"/>
      <c r="E102" s="1"/>
      <c r="F102" s="1"/>
      <c r="G102" s="1"/>
      <c r="H102" s="1"/>
      <c r="I102" s="1"/>
      <c r="J102" s="1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42"/>
      <c r="AP102" s="60"/>
    </row>
    <row r="103" spans="1:42" s="32" customFormat="1" ht="16.5" hidden="1" customHeight="1" x14ac:dyDescent="0.25">
      <c r="A103" s="31"/>
      <c r="B103" s="31"/>
      <c r="C103" s="1"/>
      <c r="D103" s="1"/>
      <c r="E103" s="1"/>
      <c r="F103" s="1"/>
      <c r="G103" s="1"/>
      <c r="H103" s="1"/>
      <c r="I103" s="1"/>
      <c r="J103" s="1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42"/>
      <c r="AP103" s="60"/>
    </row>
    <row r="104" spans="1:42" s="32" customFormat="1" ht="16.5" hidden="1" customHeight="1" x14ac:dyDescent="0.25">
      <c r="A104" s="31"/>
      <c r="B104" s="31"/>
      <c r="C104" s="1"/>
      <c r="D104" s="1"/>
      <c r="E104" s="1"/>
      <c r="F104" s="1"/>
      <c r="G104" s="1"/>
      <c r="H104" s="1"/>
      <c r="I104" s="1"/>
      <c r="J104" s="1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42"/>
      <c r="AP104" s="60"/>
    </row>
    <row r="105" spans="1:42" s="32" customFormat="1" ht="16.5" hidden="1" customHeight="1" x14ac:dyDescent="0.25">
      <c r="A105" s="31"/>
      <c r="B105" s="31"/>
      <c r="C105" s="1"/>
      <c r="D105" s="1"/>
      <c r="E105" s="1"/>
      <c r="F105" s="1"/>
      <c r="G105" s="1"/>
      <c r="H105" s="1"/>
      <c r="I105" s="1"/>
      <c r="J105" s="1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42"/>
      <c r="AP105" s="60"/>
    </row>
    <row r="106" spans="1:42" s="32" customFormat="1" ht="16.5" hidden="1" customHeight="1" x14ac:dyDescent="0.25">
      <c r="A106" s="31"/>
      <c r="B106" s="31"/>
      <c r="C106" s="1"/>
      <c r="D106" s="1"/>
      <c r="E106" s="1"/>
      <c r="F106" s="1"/>
      <c r="G106" s="1"/>
      <c r="H106" s="1"/>
      <c r="I106" s="1"/>
      <c r="J106" s="1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42"/>
      <c r="AP106" s="60"/>
    </row>
    <row r="107" spans="1:42" s="32" customFormat="1" ht="16.5" hidden="1" customHeight="1" x14ac:dyDescent="0.25">
      <c r="A107" s="31"/>
      <c r="B107" s="31"/>
      <c r="C107" s="1"/>
      <c r="D107" s="1"/>
      <c r="E107" s="1"/>
      <c r="F107" s="1"/>
      <c r="G107" s="1"/>
      <c r="H107" s="1"/>
      <c r="I107" s="1"/>
      <c r="J107" s="1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42"/>
      <c r="AP107" s="60"/>
    </row>
    <row r="108" spans="1:42" s="32" customFormat="1" ht="16.5" hidden="1" customHeight="1" x14ac:dyDescent="0.25">
      <c r="A108" s="40"/>
      <c r="B108" s="38"/>
      <c r="C108" s="40"/>
      <c r="D108" s="36"/>
      <c r="E108" s="2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2"/>
      <c r="AP108" s="56"/>
    </row>
    <row r="109" spans="1:42" s="32" customFormat="1" ht="16.5" hidden="1" customHeight="1" x14ac:dyDescent="0.25">
      <c r="A109" s="40"/>
      <c r="B109" s="38"/>
      <c r="C109" s="35"/>
      <c r="D109" s="36"/>
      <c r="E109" s="2"/>
      <c r="F109" s="34"/>
      <c r="G109" s="34"/>
      <c r="H109" s="34"/>
      <c r="I109" s="34"/>
      <c r="J109" s="34"/>
      <c r="K109" s="34"/>
      <c r="L109" s="34"/>
      <c r="M109" s="34" t="s">
        <v>9</v>
      </c>
      <c r="N109" s="34"/>
      <c r="O109" s="34"/>
      <c r="P109" s="34"/>
      <c r="Q109" s="34"/>
      <c r="R109" s="34"/>
      <c r="S109" s="34"/>
      <c r="T109" s="34" t="s">
        <v>9</v>
      </c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 t="s">
        <v>9</v>
      </c>
      <c r="AI109" s="34"/>
      <c r="AJ109" s="34"/>
      <c r="AK109" s="34"/>
      <c r="AL109" s="34"/>
      <c r="AM109" s="34"/>
      <c r="AN109" s="34"/>
      <c r="AO109" s="2"/>
      <c r="AP109" s="56" t="s">
        <v>9</v>
      </c>
    </row>
    <row r="110" spans="1:42" hidden="1" x14ac:dyDescent="0.3"/>
    <row r="111" spans="1:42" hidden="1" x14ac:dyDescent="0.3">
      <c r="AI111" s="39" t="s">
        <v>21</v>
      </c>
    </row>
    <row r="112" spans="1:42" s="29" customFormat="1" ht="18" hidden="1" customHeight="1" x14ac:dyDescent="0.3">
      <c r="B112" s="110" t="s">
        <v>12</v>
      </c>
      <c r="C112" s="110"/>
      <c r="D112" s="5"/>
      <c r="E112" s="5"/>
      <c r="I112" s="97" t="s">
        <v>13</v>
      </c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AJ112" s="5" t="s">
        <v>14</v>
      </c>
      <c r="AO112" s="4"/>
      <c r="AP112" s="55"/>
    </row>
    <row r="113" spans="11:35" hidden="1" x14ac:dyDescent="0.3">
      <c r="AI113" s="29"/>
    </row>
    <row r="114" spans="11:35" hidden="1" x14ac:dyDescent="0.3"/>
    <row r="115" spans="11:35" hidden="1" x14ac:dyDescent="0.3"/>
    <row r="116" spans="11:35" hidden="1" x14ac:dyDescent="0.3"/>
    <row r="117" spans="11:35" hidden="1" x14ac:dyDescent="0.3"/>
    <row r="118" spans="11:35" hidden="1" x14ac:dyDescent="0.3">
      <c r="K118" s="97" t="s">
        <v>23</v>
      </c>
      <c r="L118" s="97"/>
      <c r="M118" s="97"/>
      <c r="N118" s="97"/>
      <c r="O118" s="97"/>
      <c r="P118" s="97"/>
      <c r="Q118" s="97"/>
      <c r="R118" s="97"/>
      <c r="AH118" s="29" t="s">
        <v>22</v>
      </c>
    </row>
  </sheetData>
  <mergeCells count="106">
    <mergeCell ref="A5:AP5"/>
    <mergeCell ref="A1:D1"/>
    <mergeCell ref="L1:AM1"/>
    <mergeCell ref="A2:D2"/>
    <mergeCell ref="L2:AM2"/>
    <mergeCell ref="A4:AP4"/>
    <mergeCell ref="A21:A24"/>
    <mergeCell ref="A25:A30"/>
    <mergeCell ref="A31:A36"/>
    <mergeCell ref="AH7:AN7"/>
    <mergeCell ref="AO7:AO9"/>
    <mergeCell ref="AP7:AP9"/>
    <mergeCell ref="C8:E8"/>
    <mergeCell ref="A10:A14"/>
    <mergeCell ref="A15:A20"/>
    <mergeCell ref="A37:A42"/>
    <mergeCell ref="A48:A49"/>
    <mergeCell ref="B48:B49"/>
    <mergeCell ref="C48:C49"/>
    <mergeCell ref="M7:S7"/>
    <mergeCell ref="T7:Z7"/>
    <mergeCell ref="AA7:AG7"/>
    <mergeCell ref="A7:A9"/>
    <mergeCell ref="B7:B9"/>
    <mergeCell ref="C7:E7"/>
    <mergeCell ref="F7:L7"/>
    <mergeCell ref="A44:A45"/>
    <mergeCell ref="A46:A47"/>
    <mergeCell ref="K118:R118"/>
    <mergeCell ref="A81:AP81"/>
    <mergeCell ref="A82:AP82"/>
    <mergeCell ref="A84:A86"/>
    <mergeCell ref="B84:B86"/>
    <mergeCell ref="C84:E84"/>
    <mergeCell ref="F84:L84"/>
    <mergeCell ref="M84:S84"/>
    <mergeCell ref="T84:Z84"/>
    <mergeCell ref="AH84:AN84"/>
    <mergeCell ref="AO84:AP84"/>
    <mergeCell ref="C85:E85"/>
    <mergeCell ref="A87:A90"/>
    <mergeCell ref="A91:A94"/>
    <mergeCell ref="B112:C112"/>
    <mergeCell ref="I112:T112"/>
    <mergeCell ref="A79:D79"/>
    <mergeCell ref="L79:AN79"/>
    <mergeCell ref="B63:B64"/>
    <mergeCell ref="C63:C64"/>
    <mergeCell ref="A65:A66"/>
    <mergeCell ref="B65:B66"/>
    <mergeCell ref="C65:C66"/>
    <mergeCell ref="D65:D66"/>
    <mergeCell ref="A67:A68"/>
    <mergeCell ref="A60:A64"/>
    <mergeCell ref="A69:A70"/>
    <mergeCell ref="AV50:AV51"/>
    <mergeCell ref="AW50:AW51"/>
    <mergeCell ref="AP50:AP51"/>
    <mergeCell ref="B55:B57"/>
    <mergeCell ref="C55:C57"/>
    <mergeCell ref="D55:D57"/>
    <mergeCell ref="AO55:AO57"/>
    <mergeCell ref="AP55:AP57"/>
    <mergeCell ref="A78:D78"/>
    <mergeCell ref="AP58:AP59"/>
    <mergeCell ref="A50:A51"/>
    <mergeCell ref="B50:B51"/>
    <mergeCell ref="C50:C51"/>
    <mergeCell ref="AO50:AO51"/>
    <mergeCell ref="A55:A57"/>
    <mergeCell ref="A58:A59"/>
    <mergeCell ref="A52:A53"/>
    <mergeCell ref="D50:D51"/>
    <mergeCell ref="B58:B59"/>
    <mergeCell ref="C58:C59"/>
    <mergeCell ref="D58:D59"/>
    <mergeCell ref="AO58:AO59"/>
    <mergeCell ref="B18:B19"/>
    <mergeCell ref="C18:C19"/>
    <mergeCell ref="D18:D19"/>
    <mergeCell ref="AO18:AO19"/>
    <mergeCell ref="AP18:AP19"/>
    <mergeCell ref="D43:D45"/>
    <mergeCell ref="D52:D54"/>
    <mergeCell ref="AO63:AO64"/>
    <mergeCell ref="AP63:AP64"/>
    <mergeCell ref="AP48:AP49"/>
    <mergeCell ref="D46:D49"/>
    <mergeCell ref="AO46:AO47"/>
    <mergeCell ref="AO48:AO49"/>
    <mergeCell ref="D69:D70"/>
    <mergeCell ref="AP46:AP47"/>
    <mergeCell ref="B67:B68"/>
    <mergeCell ref="C67:C68"/>
    <mergeCell ref="D67:D68"/>
    <mergeCell ref="B46:B47"/>
    <mergeCell ref="C46:C47"/>
    <mergeCell ref="B60:B61"/>
    <mergeCell ref="C60:C61"/>
    <mergeCell ref="D60:D64"/>
    <mergeCell ref="AO60:AO61"/>
    <mergeCell ref="AP60:AP61"/>
    <mergeCell ref="AO65:AO66"/>
    <mergeCell ref="AP65:AP66"/>
    <mergeCell ref="AO67:AO68"/>
    <mergeCell ref="AP67:AP68"/>
  </mergeCells>
  <phoneticPr fontId="22" type="noConversion"/>
  <pageMargins left="0.2" right="0.1" top="0.511811023622047" bottom="0.511811023622047" header="0.31496062992126" footer="0.31496062992126"/>
  <pageSetup paperSize="9" scale="86" orientation="landscape" verticalDpi="0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7284-CFCA-4F0F-BA3C-61A0775D2EFB}">
  <dimension ref="A1:AI108"/>
  <sheetViews>
    <sheetView topLeftCell="A37" zoomScale="118" zoomScaleNormal="118" workbookViewId="0">
      <selection activeCell="I42" sqref="I42:X43"/>
    </sheetView>
  </sheetViews>
  <sheetFormatPr defaultRowHeight="18.75" x14ac:dyDescent="0.3"/>
  <cols>
    <col min="1" max="1" width="10.6640625" style="30" customWidth="1"/>
    <col min="2" max="2" width="15.21875" style="30" customWidth="1"/>
    <col min="3" max="3" width="15" style="30" customWidth="1"/>
    <col min="4" max="4" width="7.44140625" style="4" customWidth="1"/>
    <col min="5" max="5" width="5.6640625" style="4" customWidth="1"/>
    <col min="6" max="10" width="2.33203125" style="30" customWidth="1"/>
    <col min="11" max="11" width="2.21875" style="30" customWidth="1"/>
    <col min="12" max="26" width="2.33203125" style="30" customWidth="1"/>
    <col min="27" max="33" width="2.33203125" style="30" hidden="1" customWidth="1"/>
    <col min="34" max="34" width="3.6640625" style="4" customWidth="1"/>
    <col min="35" max="35" width="5.44140625" style="55" customWidth="1"/>
    <col min="36" max="16384" width="8.88671875" style="30"/>
  </cols>
  <sheetData>
    <row r="1" spans="1:35" s="27" customFormat="1" ht="18" customHeight="1" x14ac:dyDescent="0.25">
      <c r="A1" s="98" t="s">
        <v>96</v>
      </c>
      <c r="B1" s="98"/>
      <c r="C1" s="98"/>
      <c r="D1" s="98"/>
      <c r="E1" s="3"/>
      <c r="L1" s="121" t="s">
        <v>1</v>
      </c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28"/>
      <c r="AH1" s="43"/>
      <c r="AI1" s="55"/>
    </row>
    <row r="2" spans="1:35" s="27" customFormat="1" ht="16.5" customHeight="1" x14ac:dyDescent="0.3">
      <c r="A2" s="97" t="s">
        <v>106</v>
      </c>
      <c r="B2" s="97"/>
      <c r="C2" s="97"/>
      <c r="D2" s="97"/>
      <c r="E2" s="3"/>
      <c r="L2" s="97" t="s">
        <v>3</v>
      </c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29"/>
      <c r="AH2" s="43"/>
      <c r="AI2" s="55"/>
    </row>
    <row r="3" spans="1:35" ht="12" customHeight="1" x14ac:dyDescent="0.3"/>
    <row r="4" spans="1:35" ht="18.75" customHeight="1" x14ac:dyDescent="0.3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</row>
    <row r="5" spans="1:35" ht="16.5" customHeight="1" x14ac:dyDescent="0.3">
      <c r="A5" s="97" t="s">
        <v>187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</row>
    <row r="6" spans="1:35" ht="1.5" customHeight="1" x14ac:dyDescent="0.3"/>
    <row r="7" spans="1:35" s="32" customFormat="1" ht="16.5" customHeight="1" x14ac:dyDescent="0.25">
      <c r="A7" s="102" t="s">
        <v>4</v>
      </c>
      <c r="B7" s="102" t="s">
        <v>6</v>
      </c>
      <c r="C7" s="106" t="s">
        <v>11</v>
      </c>
      <c r="D7" s="106"/>
      <c r="E7" s="106"/>
      <c r="F7" s="106">
        <v>1</v>
      </c>
      <c r="G7" s="106"/>
      <c r="H7" s="106"/>
      <c r="I7" s="106"/>
      <c r="J7" s="106"/>
      <c r="K7" s="106"/>
      <c r="L7" s="106"/>
      <c r="M7" s="106">
        <v>2</v>
      </c>
      <c r="N7" s="106"/>
      <c r="O7" s="106"/>
      <c r="P7" s="106"/>
      <c r="Q7" s="106"/>
      <c r="R7" s="106"/>
      <c r="S7" s="106"/>
      <c r="T7" s="106">
        <v>3</v>
      </c>
      <c r="U7" s="106"/>
      <c r="V7" s="106"/>
      <c r="W7" s="106"/>
      <c r="X7" s="106"/>
      <c r="Y7" s="106"/>
      <c r="Z7" s="106"/>
      <c r="AA7" s="106">
        <v>4</v>
      </c>
      <c r="AB7" s="106"/>
      <c r="AC7" s="106"/>
      <c r="AD7" s="106"/>
      <c r="AE7" s="106"/>
      <c r="AF7" s="106"/>
      <c r="AG7" s="106"/>
      <c r="AH7" s="119" t="s">
        <v>8</v>
      </c>
      <c r="AI7" s="120" t="s">
        <v>41</v>
      </c>
    </row>
    <row r="8" spans="1:35" s="32" customFormat="1" ht="16.5" customHeight="1" x14ac:dyDescent="0.25">
      <c r="A8" s="102"/>
      <c r="B8" s="102"/>
      <c r="C8" s="106" t="s">
        <v>10</v>
      </c>
      <c r="D8" s="106"/>
      <c r="E8" s="106"/>
      <c r="F8" s="1">
        <v>4</v>
      </c>
      <c r="G8" s="1">
        <v>5</v>
      </c>
      <c r="H8" s="1">
        <v>6</v>
      </c>
      <c r="I8" s="1">
        <v>7</v>
      </c>
      <c r="J8" s="1">
        <v>8</v>
      </c>
      <c r="K8" s="33">
        <v>9</v>
      </c>
      <c r="L8" s="33">
        <v>10</v>
      </c>
      <c r="M8" s="1">
        <v>11</v>
      </c>
      <c r="N8" s="1">
        <v>12</v>
      </c>
      <c r="O8" s="1">
        <v>13</v>
      </c>
      <c r="P8" s="1">
        <v>14</v>
      </c>
      <c r="Q8" s="1">
        <v>15</v>
      </c>
      <c r="R8" s="33">
        <v>16</v>
      </c>
      <c r="S8" s="33">
        <v>17</v>
      </c>
      <c r="T8" s="1">
        <v>18</v>
      </c>
      <c r="U8" s="1">
        <v>19</v>
      </c>
      <c r="V8" s="1">
        <v>20</v>
      </c>
      <c r="W8" s="1">
        <v>21</v>
      </c>
      <c r="X8" s="1">
        <v>22</v>
      </c>
      <c r="Y8" s="33">
        <v>23</v>
      </c>
      <c r="Z8" s="33">
        <v>24</v>
      </c>
      <c r="AA8" s="1">
        <v>25</v>
      </c>
      <c r="AB8" s="1">
        <v>26</v>
      </c>
      <c r="AC8" s="1">
        <v>27</v>
      </c>
      <c r="AD8" s="1">
        <v>28</v>
      </c>
      <c r="AE8" s="1">
        <v>29</v>
      </c>
      <c r="AF8" s="33">
        <v>30</v>
      </c>
      <c r="AG8" s="33">
        <v>31</v>
      </c>
      <c r="AH8" s="119"/>
      <c r="AI8" s="120"/>
    </row>
    <row r="9" spans="1:35" s="32" customFormat="1" ht="16.5" customHeight="1" x14ac:dyDescent="0.25">
      <c r="A9" s="102"/>
      <c r="B9" s="102"/>
      <c r="C9" s="1" t="s">
        <v>5</v>
      </c>
      <c r="D9" s="1" t="s">
        <v>19</v>
      </c>
      <c r="E9" s="1" t="s">
        <v>18</v>
      </c>
      <c r="F9" s="1">
        <v>2</v>
      </c>
      <c r="G9" s="1">
        <v>3</v>
      </c>
      <c r="H9" s="1">
        <v>4</v>
      </c>
      <c r="I9" s="1">
        <v>5</v>
      </c>
      <c r="J9" s="1">
        <v>6</v>
      </c>
      <c r="K9" s="33">
        <v>7</v>
      </c>
      <c r="L9" s="33" t="s">
        <v>7</v>
      </c>
      <c r="M9" s="1">
        <v>2</v>
      </c>
      <c r="N9" s="1">
        <v>3</v>
      </c>
      <c r="O9" s="1">
        <v>4</v>
      </c>
      <c r="P9" s="1">
        <v>5</v>
      </c>
      <c r="Q9" s="1">
        <v>6</v>
      </c>
      <c r="R9" s="33">
        <v>7</v>
      </c>
      <c r="S9" s="33" t="s">
        <v>7</v>
      </c>
      <c r="T9" s="1">
        <v>2</v>
      </c>
      <c r="U9" s="1">
        <v>3</v>
      </c>
      <c r="V9" s="1">
        <v>4</v>
      </c>
      <c r="W9" s="1">
        <v>5</v>
      </c>
      <c r="X9" s="1">
        <v>6</v>
      </c>
      <c r="Y9" s="33">
        <v>7</v>
      </c>
      <c r="Z9" s="33" t="s">
        <v>7</v>
      </c>
      <c r="AA9" s="1">
        <v>2</v>
      </c>
      <c r="AB9" s="1">
        <v>3</v>
      </c>
      <c r="AC9" s="1">
        <v>4</v>
      </c>
      <c r="AD9" s="1">
        <v>5</v>
      </c>
      <c r="AE9" s="1">
        <v>6</v>
      </c>
      <c r="AF9" s="33">
        <v>7</v>
      </c>
      <c r="AG9" s="33" t="s">
        <v>7</v>
      </c>
      <c r="AH9" s="119"/>
      <c r="AI9" s="120"/>
    </row>
    <row r="10" spans="1:35" s="32" customFormat="1" ht="46.5" customHeight="1" x14ac:dyDescent="0.25">
      <c r="A10" s="99" t="s">
        <v>118</v>
      </c>
      <c r="B10" s="40" t="s">
        <v>129</v>
      </c>
      <c r="C10" s="38" t="s">
        <v>31</v>
      </c>
      <c r="D10" s="36" t="s">
        <v>107</v>
      </c>
      <c r="E10" s="2" t="s">
        <v>203</v>
      </c>
      <c r="F10" s="2"/>
      <c r="G10" s="2">
        <v>4</v>
      </c>
      <c r="H10" s="72"/>
      <c r="I10" s="74"/>
      <c r="J10" s="74"/>
      <c r="K10" s="33"/>
      <c r="L10" s="33"/>
      <c r="M10" s="2"/>
      <c r="N10" s="2">
        <v>5</v>
      </c>
      <c r="O10" s="72"/>
      <c r="P10" s="74"/>
      <c r="Q10" s="74"/>
      <c r="R10" s="33"/>
      <c r="S10" s="33"/>
      <c r="T10" s="2"/>
      <c r="U10" s="2">
        <v>5</v>
      </c>
      <c r="V10" s="72"/>
      <c r="W10" s="74"/>
      <c r="X10" s="74"/>
      <c r="Y10" s="33"/>
      <c r="Z10" s="33"/>
      <c r="AA10" s="2"/>
      <c r="AB10" s="2"/>
      <c r="AC10" s="42"/>
      <c r="AD10" s="1"/>
      <c r="AE10" s="1"/>
      <c r="AF10" s="33"/>
      <c r="AG10" s="33"/>
      <c r="AH10" s="45">
        <f t="shared" ref="AH10:AH34" si="0">SUM(F10:AG10)</f>
        <v>14</v>
      </c>
      <c r="AI10" s="61" t="s">
        <v>199</v>
      </c>
    </row>
    <row r="11" spans="1:35" s="32" customFormat="1" ht="34.5" customHeight="1" x14ac:dyDescent="0.25">
      <c r="A11" s="100"/>
      <c r="B11" s="40" t="s">
        <v>212</v>
      </c>
      <c r="C11" s="38" t="s">
        <v>207</v>
      </c>
      <c r="D11" s="36" t="s">
        <v>107</v>
      </c>
      <c r="E11" s="2" t="s">
        <v>16</v>
      </c>
      <c r="F11" s="2">
        <v>5</v>
      </c>
      <c r="G11" s="2">
        <v>5</v>
      </c>
      <c r="H11" s="2">
        <v>5</v>
      </c>
      <c r="I11" s="2"/>
      <c r="J11" s="42"/>
      <c r="K11" s="66"/>
      <c r="L11" s="66"/>
      <c r="M11" s="2">
        <v>5</v>
      </c>
      <c r="N11" s="2">
        <v>5</v>
      </c>
      <c r="O11" s="2"/>
      <c r="P11" s="2"/>
      <c r="Q11" s="42"/>
      <c r="R11" s="66"/>
      <c r="S11" s="66"/>
      <c r="T11" s="2"/>
      <c r="U11" s="2"/>
      <c r="V11" s="42"/>
      <c r="W11" s="42"/>
      <c r="X11" s="42"/>
      <c r="Y11" s="66"/>
      <c r="Z11" s="66"/>
      <c r="AA11" s="2"/>
      <c r="AB11" s="2"/>
      <c r="AC11" s="42"/>
      <c r="AD11" s="42"/>
      <c r="AE11" s="42"/>
      <c r="AF11" s="33"/>
      <c r="AG11" s="33"/>
      <c r="AH11" s="45">
        <f t="shared" si="0"/>
        <v>25</v>
      </c>
      <c r="AI11" s="61" t="s">
        <v>108</v>
      </c>
    </row>
    <row r="12" spans="1:35" s="32" customFormat="1" ht="32.25" customHeight="1" x14ac:dyDescent="0.25">
      <c r="A12" s="100"/>
      <c r="B12" s="40" t="s">
        <v>213</v>
      </c>
      <c r="C12" s="38" t="s">
        <v>207</v>
      </c>
      <c r="D12" s="36" t="s">
        <v>107</v>
      </c>
      <c r="E12" s="2" t="s">
        <v>16</v>
      </c>
      <c r="F12" s="2"/>
      <c r="G12" s="2"/>
      <c r="H12" s="44"/>
      <c r="I12" s="44"/>
      <c r="J12" s="31"/>
      <c r="K12" s="54"/>
      <c r="L12" s="54"/>
      <c r="M12" s="2"/>
      <c r="N12" s="2"/>
      <c r="O12" s="44"/>
      <c r="P12" s="44">
        <v>5</v>
      </c>
      <c r="Q12" s="31"/>
      <c r="R12" s="54"/>
      <c r="S12" s="54"/>
      <c r="T12" s="2"/>
      <c r="U12" s="2">
        <v>5</v>
      </c>
      <c r="V12" s="44">
        <v>5</v>
      </c>
      <c r="W12" s="44"/>
      <c r="X12" s="31"/>
      <c r="Y12" s="33"/>
      <c r="Z12" s="33"/>
      <c r="AA12" s="2"/>
      <c r="AB12" s="2"/>
      <c r="AC12" s="44"/>
      <c r="AD12" s="44"/>
      <c r="AE12" s="31"/>
      <c r="AF12" s="33"/>
      <c r="AG12" s="33"/>
      <c r="AH12" s="45">
        <f t="shared" si="0"/>
        <v>15</v>
      </c>
      <c r="AI12" s="56" t="s">
        <v>144</v>
      </c>
    </row>
    <row r="13" spans="1:35" s="32" customFormat="1" ht="33" customHeight="1" x14ac:dyDescent="0.25">
      <c r="A13" s="100"/>
      <c r="B13" s="40" t="s">
        <v>214</v>
      </c>
      <c r="C13" s="38" t="s">
        <v>184</v>
      </c>
      <c r="D13" s="36" t="s">
        <v>107</v>
      </c>
      <c r="E13" s="2" t="s">
        <v>15</v>
      </c>
      <c r="F13" s="2">
        <v>5</v>
      </c>
      <c r="G13" s="2"/>
      <c r="H13" s="2"/>
      <c r="I13" s="1"/>
      <c r="J13" s="1"/>
      <c r="K13" s="33"/>
      <c r="L13" s="33"/>
      <c r="M13" s="2">
        <v>5</v>
      </c>
      <c r="N13" s="2"/>
      <c r="O13" s="2"/>
      <c r="P13" s="1"/>
      <c r="Q13" s="1"/>
      <c r="R13" s="33"/>
      <c r="S13" s="33"/>
      <c r="T13" s="2">
        <v>5</v>
      </c>
      <c r="U13" s="2"/>
      <c r="V13" s="2"/>
      <c r="W13" s="1"/>
      <c r="X13" s="1"/>
      <c r="Y13" s="33"/>
      <c r="Z13" s="33"/>
      <c r="AA13" s="2"/>
      <c r="AB13" s="2"/>
      <c r="AC13" s="2"/>
      <c r="AD13" s="1"/>
      <c r="AE13" s="1"/>
      <c r="AF13" s="33"/>
      <c r="AG13" s="33"/>
      <c r="AH13" s="45">
        <f t="shared" si="0"/>
        <v>15</v>
      </c>
      <c r="AI13" s="56" t="s">
        <v>144</v>
      </c>
    </row>
    <row r="14" spans="1:35" s="32" customFormat="1" ht="29.25" customHeight="1" x14ac:dyDescent="0.25">
      <c r="A14" s="101"/>
      <c r="B14" s="35" t="s">
        <v>27</v>
      </c>
      <c r="C14" s="38" t="s">
        <v>31</v>
      </c>
      <c r="D14" s="36" t="s">
        <v>107</v>
      </c>
      <c r="E14" s="2" t="s">
        <v>132</v>
      </c>
      <c r="F14" s="31">
        <v>1</v>
      </c>
      <c r="G14" s="1"/>
      <c r="H14" s="1"/>
      <c r="I14" s="31"/>
      <c r="J14" s="1"/>
      <c r="K14" s="33"/>
      <c r="L14" s="33"/>
      <c r="M14" s="31"/>
      <c r="N14" s="1"/>
      <c r="O14" s="1"/>
      <c r="P14" s="1"/>
      <c r="Q14" s="1"/>
      <c r="R14" s="33"/>
      <c r="S14" s="33"/>
      <c r="T14" s="1"/>
      <c r="U14" s="1"/>
      <c r="V14" s="1"/>
      <c r="W14" s="1"/>
      <c r="X14" s="1"/>
      <c r="Y14" s="33"/>
      <c r="Z14" s="33"/>
      <c r="AA14" s="1"/>
      <c r="AB14" s="1"/>
      <c r="AC14" s="1"/>
      <c r="AD14" s="1"/>
      <c r="AE14" s="1"/>
      <c r="AF14" s="33"/>
      <c r="AG14" s="33"/>
      <c r="AH14" s="45">
        <f t="shared" si="0"/>
        <v>1</v>
      </c>
      <c r="AI14" s="56"/>
    </row>
    <row r="15" spans="1:35" s="32" customFormat="1" ht="27" customHeight="1" x14ac:dyDescent="0.25">
      <c r="A15" s="99" t="s">
        <v>97</v>
      </c>
      <c r="B15" s="38" t="s">
        <v>32</v>
      </c>
      <c r="C15" s="38" t="s">
        <v>31</v>
      </c>
      <c r="D15" s="36" t="s">
        <v>107</v>
      </c>
      <c r="E15" s="2" t="s">
        <v>228</v>
      </c>
      <c r="F15" s="2">
        <v>5</v>
      </c>
      <c r="G15" s="2"/>
      <c r="H15" s="42"/>
      <c r="I15" s="42"/>
      <c r="J15" s="42"/>
      <c r="K15" s="66"/>
      <c r="L15" s="66"/>
      <c r="M15" s="2">
        <v>5</v>
      </c>
      <c r="N15" s="2"/>
      <c r="O15" s="42"/>
      <c r="P15" s="42"/>
      <c r="Q15" s="42"/>
      <c r="R15" s="66"/>
      <c r="S15" s="66"/>
      <c r="T15" s="2">
        <v>5</v>
      </c>
      <c r="U15" s="2"/>
      <c r="V15" s="2"/>
      <c r="W15" s="42"/>
      <c r="X15" s="42"/>
      <c r="Y15" s="66"/>
      <c r="Z15" s="66"/>
      <c r="AA15" s="2"/>
      <c r="AB15" s="2"/>
      <c r="AC15" s="42"/>
      <c r="AD15" s="42"/>
      <c r="AE15" s="42"/>
      <c r="AF15" s="37"/>
      <c r="AG15" s="37"/>
      <c r="AH15" s="45">
        <f t="shared" si="0"/>
        <v>15</v>
      </c>
      <c r="AI15" s="58" t="s">
        <v>108</v>
      </c>
    </row>
    <row r="16" spans="1:35" s="32" customFormat="1" ht="27" customHeight="1" x14ac:dyDescent="0.25">
      <c r="A16" s="100"/>
      <c r="B16" s="131" t="s">
        <v>227</v>
      </c>
      <c r="C16" s="111" t="s">
        <v>35</v>
      </c>
      <c r="D16" s="99" t="s">
        <v>107</v>
      </c>
      <c r="E16" s="2" t="s">
        <v>17</v>
      </c>
      <c r="F16" s="2"/>
      <c r="G16" s="2">
        <v>4</v>
      </c>
      <c r="H16" s="42"/>
      <c r="I16" s="42"/>
      <c r="J16" s="42"/>
      <c r="K16" s="66"/>
      <c r="L16" s="66"/>
      <c r="M16" s="2"/>
      <c r="N16" s="2">
        <v>4</v>
      </c>
      <c r="O16" s="42"/>
      <c r="P16" s="42"/>
      <c r="Q16" s="42"/>
      <c r="R16" s="66"/>
      <c r="S16" s="66"/>
      <c r="T16" s="2"/>
      <c r="U16" s="2"/>
      <c r="V16" s="2">
        <v>4</v>
      </c>
      <c r="W16" s="42"/>
      <c r="X16" s="42"/>
      <c r="Y16" s="66"/>
      <c r="Z16" s="66"/>
      <c r="AA16" s="2"/>
      <c r="AB16" s="2"/>
      <c r="AC16" s="42"/>
      <c r="AD16" s="42"/>
      <c r="AE16" s="42"/>
      <c r="AF16" s="37"/>
      <c r="AG16" s="37"/>
      <c r="AH16" s="113">
        <f>SUM(F16:U17)</f>
        <v>20</v>
      </c>
      <c r="AI16" s="115" t="s">
        <v>108</v>
      </c>
    </row>
    <row r="17" spans="1:35" s="32" customFormat="1" ht="27" customHeight="1" x14ac:dyDescent="0.25">
      <c r="A17" s="100"/>
      <c r="B17" s="132"/>
      <c r="C17" s="112"/>
      <c r="D17" s="101"/>
      <c r="E17" s="2" t="s">
        <v>16</v>
      </c>
      <c r="F17" s="2"/>
      <c r="G17" s="2">
        <v>4</v>
      </c>
      <c r="H17" s="42"/>
      <c r="I17" s="42"/>
      <c r="J17" s="42"/>
      <c r="K17" s="66"/>
      <c r="L17" s="66"/>
      <c r="M17" s="2"/>
      <c r="N17" s="2">
        <v>4</v>
      </c>
      <c r="O17" s="42"/>
      <c r="P17" s="42"/>
      <c r="Q17" s="42"/>
      <c r="R17" s="66"/>
      <c r="S17" s="66"/>
      <c r="T17" s="2"/>
      <c r="U17" s="2">
        <v>4</v>
      </c>
      <c r="V17" s="2">
        <v>5</v>
      </c>
      <c r="W17" s="42"/>
      <c r="X17" s="42"/>
      <c r="Y17" s="66"/>
      <c r="Z17" s="66"/>
      <c r="AA17" s="2"/>
      <c r="AB17" s="2"/>
      <c r="AC17" s="42"/>
      <c r="AD17" s="42"/>
      <c r="AE17" s="42"/>
      <c r="AF17" s="37"/>
      <c r="AG17" s="37"/>
      <c r="AH17" s="114"/>
      <c r="AI17" s="116"/>
    </row>
    <row r="18" spans="1:35" s="32" customFormat="1" ht="27" customHeight="1" x14ac:dyDescent="0.25">
      <c r="A18" s="101"/>
      <c r="B18" s="38" t="s">
        <v>101</v>
      </c>
      <c r="C18" s="38" t="s">
        <v>95</v>
      </c>
      <c r="D18" s="36" t="s">
        <v>107</v>
      </c>
      <c r="E18" s="2" t="s">
        <v>116</v>
      </c>
      <c r="F18" s="2">
        <v>1</v>
      </c>
      <c r="G18" s="2"/>
      <c r="H18" s="2"/>
      <c r="I18" s="2"/>
      <c r="J18" s="2"/>
      <c r="K18" s="37"/>
      <c r="L18" s="37"/>
      <c r="M18" s="2">
        <v>1</v>
      </c>
      <c r="N18" s="2"/>
      <c r="O18" s="2"/>
      <c r="P18" s="2"/>
      <c r="Q18" s="2"/>
      <c r="R18" s="37"/>
      <c r="S18" s="37"/>
      <c r="T18" s="2">
        <v>1</v>
      </c>
      <c r="U18" s="2"/>
      <c r="V18" s="2"/>
      <c r="W18" s="2"/>
      <c r="X18" s="2"/>
      <c r="Y18" s="37"/>
      <c r="Z18" s="37"/>
      <c r="AA18" s="2"/>
      <c r="AB18" s="2"/>
      <c r="AC18" s="2"/>
      <c r="AD18" s="2"/>
      <c r="AE18" s="2"/>
      <c r="AF18" s="37"/>
      <c r="AG18" s="37"/>
      <c r="AH18" s="45">
        <f t="shared" si="0"/>
        <v>3</v>
      </c>
      <c r="AI18" s="58"/>
    </row>
    <row r="19" spans="1:35" s="32" customFormat="1" ht="29.25" customHeight="1" x14ac:dyDescent="0.25">
      <c r="A19" s="99" t="s">
        <v>98</v>
      </c>
      <c r="B19" s="38" t="s">
        <v>32</v>
      </c>
      <c r="C19" s="38" t="s">
        <v>31</v>
      </c>
      <c r="D19" s="36" t="s">
        <v>107</v>
      </c>
      <c r="E19" s="2" t="s">
        <v>17</v>
      </c>
      <c r="F19" s="2">
        <v>5</v>
      </c>
      <c r="G19" s="2"/>
      <c r="H19" s="42"/>
      <c r="I19" s="42"/>
      <c r="J19" s="42"/>
      <c r="K19" s="37"/>
      <c r="L19" s="37"/>
      <c r="M19" s="2">
        <v>5</v>
      </c>
      <c r="N19" s="2"/>
      <c r="O19" s="42"/>
      <c r="P19" s="42"/>
      <c r="Q19" s="42"/>
      <c r="R19" s="37"/>
      <c r="S19" s="37"/>
      <c r="T19" s="2">
        <v>5</v>
      </c>
      <c r="U19" s="2"/>
      <c r="V19" s="2"/>
      <c r="W19" s="2"/>
      <c r="X19" s="2"/>
      <c r="Y19" s="37"/>
      <c r="Z19" s="37"/>
      <c r="AA19" s="2"/>
      <c r="AB19" s="2"/>
      <c r="AC19" s="2"/>
      <c r="AD19" s="2"/>
      <c r="AE19" s="2"/>
      <c r="AF19" s="37"/>
      <c r="AG19" s="37"/>
      <c r="AH19" s="45">
        <f t="shared" si="0"/>
        <v>15</v>
      </c>
      <c r="AI19" s="59" t="str">
        <f>AI15</f>
        <v>45/45</v>
      </c>
    </row>
    <row r="20" spans="1:35" s="32" customFormat="1" ht="33.75" customHeight="1" x14ac:dyDescent="0.25">
      <c r="A20" s="101"/>
      <c r="B20" s="35" t="s">
        <v>27</v>
      </c>
      <c r="C20" s="35" t="s">
        <v>95</v>
      </c>
      <c r="D20" s="36" t="s">
        <v>107</v>
      </c>
      <c r="E20" s="2" t="s">
        <v>116</v>
      </c>
      <c r="F20" s="2">
        <v>1</v>
      </c>
      <c r="G20" s="2"/>
      <c r="H20" s="2"/>
      <c r="I20" s="2"/>
      <c r="J20" s="2"/>
      <c r="K20" s="37"/>
      <c r="L20" s="37"/>
      <c r="M20" s="2">
        <v>1</v>
      </c>
      <c r="N20" s="2"/>
      <c r="O20" s="2"/>
      <c r="P20" s="2"/>
      <c r="Q20" s="2"/>
      <c r="R20" s="37"/>
      <c r="S20" s="37"/>
      <c r="T20" s="2">
        <v>1</v>
      </c>
      <c r="U20" s="2"/>
      <c r="V20" s="2"/>
      <c r="W20" s="2"/>
      <c r="X20" s="2"/>
      <c r="Y20" s="37"/>
      <c r="Z20" s="37"/>
      <c r="AA20" s="2"/>
      <c r="AB20" s="2"/>
      <c r="AC20" s="2"/>
      <c r="AD20" s="2"/>
      <c r="AE20" s="2"/>
      <c r="AF20" s="37"/>
      <c r="AG20" s="37"/>
      <c r="AH20" s="45">
        <f t="shared" si="0"/>
        <v>3</v>
      </c>
      <c r="AI20" s="58" t="str">
        <f>AI15</f>
        <v>45/45</v>
      </c>
    </row>
    <row r="21" spans="1:35" s="32" customFormat="1" ht="28.5" customHeight="1" x14ac:dyDescent="0.25">
      <c r="A21" s="143" t="s">
        <v>119</v>
      </c>
      <c r="B21" s="38" t="s">
        <v>25</v>
      </c>
      <c r="C21" s="38" t="s">
        <v>86</v>
      </c>
      <c r="D21" s="36" t="s">
        <v>115</v>
      </c>
      <c r="E21" s="2" t="s">
        <v>204</v>
      </c>
      <c r="F21" s="2">
        <v>5</v>
      </c>
      <c r="G21" s="2"/>
      <c r="H21" s="2"/>
      <c r="I21" s="2"/>
      <c r="J21" s="2"/>
      <c r="K21" s="37"/>
      <c r="L21" s="37"/>
      <c r="M21" s="2">
        <v>5</v>
      </c>
      <c r="N21" s="2"/>
      <c r="O21" s="2"/>
      <c r="P21" s="2"/>
      <c r="Q21" s="2"/>
      <c r="R21" s="37"/>
      <c r="S21" s="37"/>
      <c r="T21" s="2">
        <v>5</v>
      </c>
      <c r="U21" s="2"/>
      <c r="V21" s="2"/>
      <c r="W21" s="2"/>
      <c r="X21" s="2"/>
      <c r="Y21" s="37"/>
      <c r="Z21" s="37"/>
      <c r="AA21" s="2"/>
      <c r="AB21" s="2"/>
      <c r="AC21" s="2"/>
      <c r="AD21" s="2"/>
      <c r="AE21" s="2"/>
      <c r="AF21" s="37"/>
      <c r="AG21" s="37"/>
      <c r="AH21" s="45">
        <f t="shared" si="0"/>
        <v>15</v>
      </c>
      <c r="AI21" s="58" t="s">
        <v>193</v>
      </c>
    </row>
    <row r="22" spans="1:35" s="32" customFormat="1" ht="28.5" customHeight="1" x14ac:dyDescent="0.25">
      <c r="A22" s="144"/>
      <c r="B22" s="38" t="s">
        <v>200</v>
      </c>
      <c r="C22" s="38" t="s">
        <v>26</v>
      </c>
      <c r="D22" s="36" t="s">
        <v>107</v>
      </c>
      <c r="E22" s="2" t="s">
        <v>15</v>
      </c>
      <c r="F22" s="2"/>
      <c r="G22" s="2">
        <v>5</v>
      </c>
      <c r="H22" s="2"/>
      <c r="I22" s="2"/>
      <c r="J22" s="2"/>
      <c r="K22" s="37"/>
      <c r="L22" s="37"/>
      <c r="M22" s="2"/>
      <c r="N22" s="2">
        <v>5</v>
      </c>
      <c r="O22" s="2"/>
      <c r="P22" s="2"/>
      <c r="Q22" s="2"/>
      <c r="R22" s="37"/>
      <c r="S22" s="37"/>
      <c r="T22" s="2"/>
      <c r="U22" s="2">
        <v>5</v>
      </c>
      <c r="V22" s="2">
        <v>5</v>
      </c>
      <c r="W22" s="2"/>
      <c r="X22" s="2"/>
      <c r="Y22" s="37"/>
      <c r="Z22" s="37"/>
      <c r="AA22" s="2"/>
      <c r="AB22" s="2"/>
      <c r="AC22" s="2"/>
      <c r="AD22" s="2"/>
      <c r="AE22" s="2"/>
      <c r="AF22" s="37"/>
      <c r="AG22" s="37"/>
      <c r="AH22" s="45">
        <f t="shared" ref="AH22" si="1">SUM(F22:AG22)</f>
        <v>20</v>
      </c>
      <c r="AI22" s="58" t="s">
        <v>108</v>
      </c>
    </row>
    <row r="23" spans="1:35" s="32" customFormat="1" ht="28.5" customHeight="1" x14ac:dyDescent="0.25">
      <c r="A23" s="144"/>
      <c r="B23" s="38" t="s">
        <v>171</v>
      </c>
      <c r="C23" s="35" t="s">
        <v>95</v>
      </c>
      <c r="D23" s="36" t="s">
        <v>107</v>
      </c>
      <c r="E23" s="2" t="s">
        <v>15</v>
      </c>
      <c r="F23" s="2"/>
      <c r="G23" s="2"/>
      <c r="H23" s="2"/>
      <c r="I23" s="2">
        <v>4</v>
      </c>
      <c r="J23" s="2"/>
      <c r="K23" s="37"/>
      <c r="L23" s="37"/>
      <c r="M23" s="2"/>
      <c r="N23" s="2"/>
      <c r="O23" s="2"/>
      <c r="P23" s="2">
        <v>5</v>
      </c>
      <c r="Q23" s="2"/>
      <c r="R23" s="37"/>
      <c r="S23" s="37"/>
      <c r="T23" s="2"/>
      <c r="U23" s="2"/>
      <c r="V23" s="2"/>
      <c r="W23" s="2"/>
      <c r="X23" s="2"/>
      <c r="Y23" s="37"/>
      <c r="Z23" s="37"/>
      <c r="AA23" s="2"/>
      <c r="AB23" s="2"/>
      <c r="AC23" s="2"/>
      <c r="AD23" s="2"/>
      <c r="AE23" s="2"/>
      <c r="AF23" s="37"/>
      <c r="AG23" s="37"/>
      <c r="AH23" s="45">
        <f t="shared" si="0"/>
        <v>9</v>
      </c>
      <c r="AI23" s="58" t="s">
        <v>108</v>
      </c>
    </row>
    <row r="24" spans="1:35" s="32" customFormat="1" ht="28.5" customHeight="1" x14ac:dyDescent="0.25">
      <c r="A24" s="145"/>
      <c r="B24" s="35" t="s">
        <v>27</v>
      </c>
      <c r="C24" s="38" t="s">
        <v>26</v>
      </c>
      <c r="D24" s="36" t="s">
        <v>107</v>
      </c>
      <c r="E24" s="2" t="s">
        <v>116</v>
      </c>
      <c r="F24" s="2"/>
      <c r="G24" s="2"/>
      <c r="H24" s="2"/>
      <c r="I24" s="2">
        <v>1</v>
      </c>
      <c r="J24" s="2"/>
      <c r="K24" s="37"/>
      <c r="L24" s="37"/>
      <c r="M24" s="2"/>
      <c r="N24" s="2"/>
      <c r="O24" s="2"/>
      <c r="P24" s="2">
        <v>1</v>
      </c>
      <c r="Q24" s="2"/>
      <c r="R24" s="37"/>
      <c r="S24" s="37"/>
      <c r="T24" s="2"/>
      <c r="U24" s="2"/>
      <c r="V24" s="2"/>
      <c r="W24" s="2">
        <v>1</v>
      </c>
      <c r="X24" s="2"/>
      <c r="Y24" s="37"/>
      <c r="Z24" s="37"/>
      <c r="AA24" s="2"/>
      <c r="AB24" s="2"/>
      <c r="AC24" s="2"/>
      <c r="AD24" s="2"/>
      <c r="AE24" s="2"/>
      <c r="AF24" s="37"/>
      <c r="AG24" s="37"/>
      <c r="AH24" s="45">
        <f t="shared" si="0"/>
        <v>3</v>
      </c>
      <c r="AI24" s="58"/>
    </row>
    <row r="25" spans="1:35" s="32" customFormat="1" ht="24.75" customHeight="1" x14ac:dyDescent="0.25">
      <c r="A25" s="143" t="s">
        <v>120</v>
      </c>
      <c r="B25" s="38" t="s">
        <v>34</v>
      </c>
      <c r="C25" s="38" t="s">
        <v>124</v>
      </c>
      <c r="D25" s="36">
        <v>2.1</v>
      </c>
      <c r="E25" s="2" t="s">
        <v>15</v>
      </c>
      <c r="F25" s="2">
        <v>5</v>
      </c>
      <c r="G25" s="2"/>
      <c r="H25" s="2"/>
      <c r="I25" s="2"/>
      <c r="J25" s="2"/>
      <c r="K25" s="37"/>
      <c r="L25" s="37"/>
      <c r="M25" s="2">
        <v>5</v>
      </c>
      <c r="N25" s="2"/>
      <c r="O25" s="2"/>
      <c r="P25" s="2"/>
      <c r="Q25" s="2"/>
      <c r="R25" s="37"/>
      <c r="S25" s="37"/>
      <c r="T25" s="2">
        <v>5</v>
      </c>
      <c r="U25" s="2"/>
      <c r="V25" s="2"/>
      <c r="W25" s="2"/>
      <c r="X25" s="2"/>
      <c r="Y25" s="37"/>
      <c r="Z25" s="37"/>
      <c r="AA25" s="2"/>
      <c r="AB25" s="2"/>
      <c r="AC25" s="2"/>
      <c r="AD25" s="2"/>
      <c r="AE25" s="2"/>
      <c r="AF25" s="37"/>
      <c r="AG25" s="37"/>
      <c r="AH25" s="45">
        <f t="shared" si="0"/>
        <v>15</v>
      </c>
      <c r="AI25" s="58" t="s">
        <v>199</v>
      </c>
    </row>
    <row r="26" spans="1:35" s="32" customFormat="1" ht="24.75" customHeight="1" x14ac:dyDescent="0.25">
      <c r="A26" s="144"/>
      <c r="B26" s="38" t="s">
        <v>200</v>
      </c>
      <c r="C26" s="38" t="s">
        <v>26</v>
      </c>
      <c r="D26" s="36" t="s">
        <v>107</v>
      </c>
      <c r="E26" s="2" t="s">
        <v>15</v>
      </c>
      <c r="F26" s="2"/>
      <c r="G26" s="2">
        <v>5</v>
      </c>
      <c r="H26" s="2"/>
      <c r="I26" s="2"/>
      <c r="J26" s="2"/>
      <c r="K26" s="37"/>
      <c r="L26" s="37"/>
      <c r="M26" s="2"/>
      <c r="N26" s="2">
        <v>5</v>
      </c>
      <c r="O26" s="2"/>
      <c r="P26" s="2"/>
      <c r="Q26" s="2"/>
      <c r="R26" s="37"/>
      <c r="S26" s="37"/>
      <c r="T26" s="2"/>
      <c r="U26" s="2">
        <v>5</v>
      </c>
      <c r="V26" s="2">
        <v>5</v>
      </c>
      <c r="W26" s="2"/>
      <c r="X26" s="2"/>
      <c r="Y26" s="37"/>
      <c r="Z26" s="37"/>
      <c r="AA26" s="2"/>
      <c r="AB26" s="2"/>
      <c r="AC26" s="2"/>
      <c r="AD26" s="2"/>
      <c r="AE26" s="2"/>
      <c r="AF26" s="37"/>
      <c r="AG26" s="37"/>
      <c r="AH26" s="45">
        <f t="shared" si="0"/>
        <v>20</v>
      </c>
      <c r="AI26" s="58" t="str">
        <f>AI22</f>
        <v>45/45</v>
      </c>
    </row>
    <row r="27" spans="1:35" s="32" customFormat="1" ht="29.25" customHeight="1" x14ac:dyDescent="0.25">
      <c r="A27" s="144"/>
      <c r="B27" s="40" t="s">
        <v>166</v>
      </c>
      <c r="C27" s="38" t="s">
        <v>167</v>
      </c>
      <c r="D27" s="36" t="s">
        <v>115</v>
      </c>
      <c r="E27" s="2" t="s">
        <v>15</v>
      </c>
      <c r="F27" s="2"/>
      <c r="G27" s="2"/>
      <c r="H27" s="2">
        <v>4</v>
      </c>
      <c r="I27" s="2"/>
      <c r="J27" s="2"/>
      <c r="K27" s="37"/>
      <c r="L27" s="37"/>
      <c r="M27" s="2"/>
      <c r="N27" s="2"/>
      <c r="O27" s="2">
        <v>4</v>
      </c>
      <c r="P27" s="2"/>
      <c r="Q27" s="2"/>
      <c r="R27" s="37"/>
      <c r="S27" s="37"/>
      <c r="T27" s="2"/>
      <c r="U27" s="2"/>
      <c r="V27" s="2">
        <v>4</v>
      </c>
      <c r="W27" s="2"/>
      <c r="X27" s="2"/>
      <c r="Y27" s="37"/>
      <c r="Z27" s="37"/>
      <c r="AA27" s="2"/>
      <c r="AB27" s="2"/>
      <c r="AC27" s="2"/>
      <c r="AD27" s="2"/>
      <c r="AE27" s="2"/>
      <c r="AF27" s="37"/>
      <c r="AG27" s="37"/>
      <c r="AH27" s="45">
        <f t="shared" si="0"/>
        <v>12</v>
      </c>
      <c r="AI27" s="58" t="s">
        <v>205</v>
      </c>
    </row>
    <row r="28" spans="1:35" s="32" customFormat="1" ht="24.75" customHeight="1" x14ac:dyDescent="0.25">
      <c r="A28" s="144"/>
      <c r="B28" s="38" t="s">
        <v>171</v>
      </c>
      <c r="C28" s="35" t="s">
        <v>95</v>
      </c>
      <c r="D28" s="36" t="s">
        <v>107</v>
      </c>
      <c r="E28" s="2" t="s">
        <v>15</v>
      </c>
      <c r="F28" s="2"/>
      <c r="G28" s="2"/>
      <c r="H28" s="2"/>
      <c r="I28" s="2">
        <v>4</v>
      </c>
      <c r="J28" s="2"/>
      <c r="K28" s="37"/>
      <c r="L28" s="37"/>
      <c r="M28" s="2"/>
      <c r="N28" s="2"/>
      <c r="O28" s="2"/>
      <c r="P28" s="2">
        <v>5</v>
      </c>
      <c r="Q28" s="2"/>
      <c r="R28" s="37"/>
      <c r="S28" s="37"/>
      <c r="T28" s="2"/>
      <c r="U28" s="2"/>
      <c r="V28" s="2"/>
      <c r="W28" s="2"/>
      <c r="X28" s="2"/>
      <c r="Y28" s="37"/>
      <c r="Z28" s="37"/>
      <c r="AA28" s="2"/>
      <c r="AB28" s="2"/>
      <c r="AC28" s="2"/>
      <c r="AD28" s="2"/>
      <c r="AE28" s="2"/>
      <c r="AF28" s="37"/>
      <c r="AG28" s="37"/>
      <c r="AH28" s="45">
        <f t="shared" si="0"/>
        <v>9</v>
      </c>
      <c r="AI28" s="58" t="str">
        <f>AI23</f>
        <v>45/45</v>
      </c>
    </row>
    <row r="29" spans="1:35" s="32" customFormat="1" ht="24.75" customHeight="1" x14ac:dyDescent="0.25">
      <c r="A29" s="145"/>
      <c r="B29" s="35" t="s">
        <v>27</v>
      </c>
      <c r="C29" s="34" t="s">
        <v>26</v>
      </c>
      <c r="D29" s="36" t="s">
        <v>107</v>
      </c>
      <c r="E29" s="2" t="s">
        <v>116</v>
      </c>
      <c r="F29" s="2"/>
      <c r="G29" s="2">
        <v>1</v>
      </c>
      <c r="H29" s="2"/>
      <c r="I29" s="2"/>
      <c r="J29" s="2"/>
      <c r="K29" s="37"/>
      <c r="L29" s="37"/>
      <c r="M29" s="2"/>
      <c r="N29" s="2">
        <v>1</v>
      </c>
      <c r="O29" s="2"/>
      <c r="P29" s="2"/>
      <c r="Q29" s="2"/>
      <c r="R29" s="37"/>
      <c r="S29" s="37"/>
      <c r="T29" s="2"/>
      <c r="U29" s="2">
        <v>1</v>
      </c>
      <c r="V29" s="2"/>
      <c r="W29" s="2"/>
      <c r="X29" s="2"/>
      <c r="Y29" s="37"/>
      <c r="Z29" s="37"/>
      <c r="AA29" s="2"/>
      <c r="AB29" s="2"/>
      <c r="AC29" s="2"/>
      <c r="AD29" s="2"/>
      <c r="AE29" s="2"/>
      <c r="AF29" s="37"/>
      <c r="AG29" s="37"/>
      <c r="AH29" s="45">
        <f t="shared" si="0"/>
        <v>3</v>
      </c>
      <c r="AI29" s="58"/>
    </row>
    <row r="30" spans="1:35" s="32" customFormat="1" ht="24.75" customHeight="1" x14ac:dyDescent="0.25">
      <c r="A30" s="143" t="s">
        <v>121</v>
      </c>
      <c r="B30" s="38" t="s">
        <v>34</v>
      </c>
      <c r="C30" s="38" t="s">
        <v>124</v>
      </c>
      <c r="D30" s="36">
        <v>2.1</v>
      </c>
      <c r="E30" s="2" t="s">
        <v>15</v>
      </c>
      <c r="F30" s="2">
        <v>5</v>
      </c>
      <c r="G30" s="2"/>
      <c r="H30" s="2"/>
      <c r="I30" s="2"/>
      <c r="J30" s="2"/>
      <c r="K30" s="37"/>
      <c r="L30" s="37"/>
      <c r="M30" s="2">
        <v>5</v>
      </c>
      <c r="N30" s="2"/>
      <c r="O30" s="2"/>
      <c r="P30" s="2"/>
      <c r="Q30" s="2"/>
      <c r="R30" s="37"/>
      <c r="S30" s="37"/>
      <c r="T30" s="2">
        <v>5</v>
      </c>
      <c r="U30" s="2"/>
      <c r="V30" s="2"/>
      <c r="W30" s="2"/>
      <c r="X30" s="2"/>
      <c r="Y30" s="37"/>
      <c r="Z30" s="37"/>
      <c r="AA30" s="2"/>
      <c r="AB30" s="2"/>
      <c r="AC30" s="2"/>
      <c r="AD30" s="2"/>
      <c r="AE30" s="2"/>
      <c r="AF30" s="37"/>
      <c r="AG30" s="37"/>
      <c r="AH30" s="45">
        <f t="shared" si="0"/>
        <v>15</v>
      </c>
      <c r="AI30" s="58" t="str">
        <f>AI25</f>
        <v>90/90</v>
      </c>
    </row>
    <row r="31" spans="1:35" s="32" customFormat="1" ht="24.75" customHeight="1" x14ac:dyDescent="0.25">
      <c r="A31" s="144"/>
      <c r="B31" s="38" t="s">
        <v>200</v>
      </c>
      <c r="C31" s="38" t="s">
        <v>26</v>
      </c>
      <c r="D31" s="36" t="s">
        <v>107</v>
      </c>
      <c r="E31" s="2" t="s">
        <v>15</v>
      </c>
      <c r="F31" s="2"/>
      <c r="G31" s="2">
        <v>5</v>
      </c>
      <c r="H31" s="2"/>
      <c r="I31" s="2"/>
      <c r="J31" s="2"/>
      <c r="K31" s="37"/>
      <c r="L31" s="37"/>
      <c r="M31" s="2"/>
      <c r="N31" s="2">
        <v>5</v>
      </c>
      <c r="O31" s="2"/>
      <c r="P31" s="2"/>
      <c r="Q31" s="2"/>
      <c r="R31" s="37"/>
      <c r="S31" s="37"/>
      <c r="T31" s="2"/>
      <c r="U31" s="2">
        <v>5</v>
      </c>
      <c r="V31" s="2">
        <v>5</v>
      </c>
      <c r="W31" s="2"/>
      <c r="X31" s="2"/>
      <c r="Y31" s="37"/>
      <c r="Z31" s="37"/>
      <c r="AA31" s="2"/>
      <c r="AB31" s="2"/>
      <c r="AC31" s="2"/>
      <c r="AD31" s="2"/>
      <c r="AE31" s="2"/>
      <c r="AF31" s="37"/>
      <c r="AG31" s="37"/>
      <c r="AH31" s="45">
        <f t="shared" si="0"/>
        <v>20</v>
      </c>
      <c r="AI31" s="58" t="str">
        <f>AI22</f>
        <v>45/45</v>
      </c>
    </row>
    <row r="32" spans="1:35" s="32" customFormat="1" ht="33" customHeight="1" x14ac:dyDescent="0.25">
      <c r="A32" s="144"/>
      <c r="B32" s="40" t="s">
        <v>166</v>
      </c>
      <c r="C32" s="38" t="s">
        <v>167</v>
      </c>
      <c r="D32" s="36" t="s">
        <v>115</v>
      </c>
      <c r="E32" s="2" t="s">
        <v>15</v>
      </c>
      <c r="F32" s="2"/>
      <c r="G32" s="2"/>
      <c r="H32" s="2">
        <v>4</v>
      </c>
      <c r="I32" s="2"/>
      <c r="J32" s="2"/>
      <c r="K32" s="37"/>
      <c r="L32" s="37"/>
      <c r="M32" s="2"/>
      <c r="N32" s="2"/>
      <c r="O32" s="2">
        <v>4</v>
      </c>
      <c r="P32" s="2"/>
      <c r="Q32" s="2"/>
      <c r="R32" s="37"/>
      <c r="S32" s="37"/>
      <c r="T32" s="2"/>
      <c r="U32" s="2"/>
      <c r="V32" s="2">
        <v>4</v>
      </c>
      <c r="W32" s="2"/>
      <c r="X32" s="2"/>
      <c r="Y32" s="37"/>
      <c r="Z32" s="37"/>
      <c r="AA32" s="2"/>
      <c r="AB32" s="2"/>
      <c r="AC32" s="2"/>
      <c r="AD32" s="2"/>
      <c r="AE32" s="2"/>
      <c r="AF32" s="37"/>
      <c r="AG32" s="37"/>
      <c r="AH32" s="45">
        <f t="shared" si="0"/>
        <v>12</v>
      </c>
      <c r="AI32" s="58" t="str">
        <f>AI27</f>
        <v>36/36</v>
      </c>
    </row>
    <row r="33" spans="1:35" s="32" customFormat="1" ht="24.75" customHeight="1" x14ac:dyDescent="0.25">
      <c r="A33" s="144"/>
      <c r="B33" s="38" t="s">
        <v>171</v>
      </c>
      <c r="C33" s="35" t="s">
        <v>95</v>
      </c>
      <c r="D33" s="36" t="s">
        <v>107</v>
      </c>
      <c r="E33" s="2" t="s">
        <v>15</v>
      </c>
      <c r="F33" s="2"/>
      <c r="G33" s="2"/>
      <c r="H33" s="2"/>
      <c r="I33" s="2">
        <v>4</v>
      </c>
      <c r="J33" s="2"/>
      <c r="K33" s="37"/>
      <c r="L33" s="37"/>
      <c r="M33" s="2"/>
      <c r="N33" s="2"/>
      <c r="O33" s="2"/>
      <c r="P33" s="2">
        <v>5</v>
      </c>
      <c r="Q33" s="2"/>
      <c r="R33" s="37"/>
      <c r="S33" s="37"/>
      <c r="T33" s="2"/>
      <c r="U33" s="2"/>
      <c r="V33" s="2"/>
      <c r="W33" s="2"/>
      <c r="X33" s="2"/>
      <c r="Y33" s="37"/>
      <c r="Z33" s="37"/>
      <c r="AA33" s="2"/>
      <c r="AB33" s="2"/>
      <c r="AC33" s="2"/>
      <c r="AD33" s="2"/>
      <c r="AE33" s="2"/>
      <c r="AF33" s="37"/>
      <c r="AG33" s="37"/>
      <c r="AH33" s="45">
        <f t="shared" si="0"/>
        <v>9</v>
      </c>
      <c r="AI33" s="58" t="str">
        <f>AI28</f>
        <v>45/45</v>
      </c>
    </row>
    <row r="34" spans="1:35" s="32" customFormat="1" ht="24.75" customHeight="1" x14ac:dyDescent="0.25">
      <c r="A34" s="145"/>
      <c r="B34" s="35" t="s">
        <v>27</v>
      </c>
      <c r="C34" s="34" t="s">
        <v>94</v>
      </c>
      <c r="D34" s="36" t="s">
        <v>107</v>
      </c>
      <c r="E34" s="2" t="s">
        <v>116</v>
      </c>
      <c r="F34" s="2"/>
      <c r="G34" s="2">
        <v>1</v>
      </c>
      <c r="H34" s="2"/>
      <c r="I34" s="2"/>
      <c r="J34" s="2"/>
      <c r="K34" s="37"/>
      <c r="L34" s="37"/>
      <c r="M34" s="2"/>
      <c r="N34" s="2">
        <v>1</v>
      </c>
      <c r="O34" s="2"/>
      <c r="P34" s="2"/>
      <c r="Q34" s="2"/>
      <c r="R34" s="37"/>
      <c r="S34" s="37"/>
      <c r="T34" s="2"/>
      <c r="U34" s="2">
        <v>1</v>
      </c>
      <c r="V34" s="2"/>
      <c r="W34" s="2"/>
      <c r="X34" s="2"/>
      <c r="Y34" s="37"/>
      <c r="Z34" s="37"/>
      <c r="AA34" s="2"/>
      <c r="AB34" s="2"/>
      <c r="AC34" s="2"/>
      <c r="AD34" s="2"/>
      <c r="AE34" s="2"/>
      <c r="AF34" s="37"/>
      <c r="AG34" s="37"/>
      <c r="AH34" s="45">
        <f t="shared" si="0"/>
        <v>3</v>
      </c>
      <c r="AI34" s="58"/>
    </row>
    <row r="35" spans="1:35" s="32" customFormat="1" ht="45.75" customHeight="1" x14ac:dyDescent="0.25">
      <c r="A35" s="99" t="s">
        <v>104</v>
      </c>
      <c r="B35" s="40" t="s">
        <v>233</v>
      </c>
      <c r="C35" s="38" t="s">
        <v>26</v>
      </c>
      <c r="D35" s="99" t="s">
        <v>100</v>
      </c>
      <c r="E35" s="2" t="s">
        <v>16</v>
      </c>
      <c r="F35" s="2"/>
      <c r="G35" s="2"/>
      <c r="H35" s="2">
        <v>5</v>
      </c>
      <c r="I35" s="2"/>
      <c r="J35" s="2"/>
      <c r="K35" s="37"/>
      <c r="L35" s="37"/>
      <c r="M35" s="2"/>
      <c r="N35" s="2"/>
      <c r="O35" s="2"/>
      <c r="P35" s="2"/>
      <c r="Q35" s="2"/>
      <c r="R35" s="37"/>
      <c r="S35" s="37"/>
      <c r="T35" s="2"/>
      <c r="U35" s="2"/>
      <c r="V35" s="2"/>
      <c r="W35" s="2"/>
      <c r="X35" s="2"/>
      <c r="Y35" s="37"/>
      <c r="Z35" s="37"/>
      <c r="AA35" s="2"/>
      <c r="AB35" s="2"/>
      <c r="AC35" s="2"/>
      <c r="AD35" s="2"/>
      <c r="AE35" s="2"/>
      <c r="AF35" s="37"/>
      <c r="AG35" s="37"/>
      <c r="AH35" s="45">
        <f>SUM(F35:AG35)</f>
        <v>5</v>
      </c>
      <c r="AI35" s="58" t="s">
        <v>193</v>
      </c>
    </row>
    <row r="36" spans="1:35" s="32" customFormat="1" ht="45.75" customHeight="1" x14ac:dyDescent="0.25">
      <c r="A36" s="101"/>
      <c r="B36" s="40" t="s">
        <v>166</v>
      </c>
      <c r="C36" s="38" t="s">
        <v>167</v>
      </c>
      <c r="D36" s="100"/>
      <c r="E36" s="2" t="s">
        <v>16</v>
      </c>
      <c r="F36" s="2"/>
      <c r="G36" s="2"/>
      <c r="H36" s="2"/>
      <c r="I36" s="2">
        <v>5</v>
      </c>
      <c r="J36" s="2"/>
      <c r="K36" s="37"/>
      <c r="L36" s="37"/>
      <c r="M36" s="2"/>
      <c r="N36" s="2"/>
      <c r="O36" s="2">
        <v>5</v>
      </c>
      <c r="P36" s="2">
        <v>5</v>
      </c>
      <c r="Q36" s="2"/>
      <c r="R36" s="37"/>
      <c r="S36" s="37"/>
      <c r="T36" s="2"/>
      <c r="U36" s="2"/>
      <c r="V36" s="2">
        <v>5</v>
      </c>
      <c r="W36" s="2">
        <v>5</v>
      </c>
      <c r="X36" s="2"/>
      <c r="Y36" s="37"/>
      <c r="Z36" s="37"/>
      <c r="AA36" s="2"/>
      <c r="AB36" s="2"/>
      <c r="AC36" s="2"/>
      <c r="AD36" s="2"/>
      <c r="AE36" s="2"/>
      <c r="AF36" s="37"/>
      <c r="AG36" s="37"/>
      <c r="AH36" s="45">
        <f>SUM(F36:AG36)</f>
        <v>25</v>
      </c>
      <c r="AI36" s="58" t="s">
        <v>235</v>
      </c>
    </row>
    <row r="37" spans="1:35" s="32" customFormat="1" ht="54" customHeight="1" x14ac:dyDescent="0.25">
      <c r="A37" s="36" t="s">
        <v>223</v>
      </c>
      <c r="B37" s="88" t="s">
        <v>34</v>
      </c>
      <c r="C37" s="36" t="s">
        <v>33</v>
      </c>
      <c r="D37" s="101"/>
      <c r="E37" s="2" t="s">
        <v>203</v>
      </c>
      <c r="F37" s="2"/>
      <c r="G37" s="2"/>
      <c r="H37" s="2">
        <v>5</v>
      </c>
      <c r="I37" s="2">
        <v>5</v>
      </c>
      <c r="J37" s="2"/>
      <c r="K37" s="37"/>
      <c r="L37" s="37"/>
      <c r="M37" s="2"/>
      <c r="N37" s="2"/>
      <c r="O37" s="2">
        <v>5</v>
      </c>
      <c r="P37" s="2">
        <v>5</v>
      </c>
      <c r="Q37" s="2"/>
      <c r="R37" s="37"/>
      <c r="S37" s="37"/>
      <c r="T37" s="2"/>
      <c r="U37" s="2"/>
      <c r="V37" s="2">
        <v>5</v>
      </c>
      <c r="W37" s="2">
        <v>5</v>
      </c>
      <c r="X37" s="2"/>
      <c r="Y37" s="37"/>
      <c r="Z37" s="37"/>
      <c r="AA37" s="2"/>
      <c r="AB37" s="2"/>
      <c r="AC37" s="2"/>
      <c r="AD37" s="2"/>
      <c r="AE37" s="2"/>
      <c r="AF37" s="37"/>
      <c r="AG37" s="37"/>
      <c r="AH37" s="68">
        <f>SUM(F37:AF37)</f>
        <v>30</v>
      </c>
      <c r="AI37" s="78" t="s">
        <v>231</v>
      </c>
    </row>
    <row r="38" spans="1:35" s="32" customFormat="1" ht="21" customHeight="1" x14ac:dyDescent="0.25">
      <c r="A38" s="99" t="s">
        <v>111</v>
      </c>
      <c r="B38" s="99" t="s">
        <v>233</v>
      </c>
      <c r="C38" s="124" t="s">
        <v>95</v>
      </c>
      <c r="D38" s="99" t="s">
        <v>105</v>
      </c>
      <c r="E38" s="2" t="s">
        <v>17</v>
      </c>
      <c r="F38" s="2"/>
      <c r="G38" s="2"/>
      <c r="H38" s="2"/>
      <c r="I38" s="2"/>
      <c r="J38" s="2">
        <v>4</v>
      </c>
      <c r="K38" s="37"/>
      <c r="L38" s="37"/>
      <c r="M38" s="2"/>
      <c r="N38" s="2"/>
      <c r="O38" s="2"/>
      <c r="P38" s="2"/>
      <c r="Q38" s="2"/>
      <c r="R38" s="37"/>
      <c r="S38" s="37"/>
      <c r="T38" s="2"/>
      <c r="U38" s="2"/>
      <c r="V38" s="2"/>
      <c r="W38" s="2"/>
      <c r="X38" s="2"/>
      <c r="Y38" s="37"/>
      <c r="Z38" s="37"/>
      <c r="AA38" s="2"/>
      <c r="AB38" s="2"/>
      <c r="AC38" s="2"/>
      <c r="AD38" s="2"/>
      <c r="AE38" s="2"/>
      <c r="AF38" s="37"/>
      <c r="AG38" s="37"/>
      <c r="AH38" s="125">
        <f>SUM(F38:AG39)</f>
        <v>11</v>
      </c>
      <c r="AI38" s="122" t="s">
        <v>193</v>
      </c>
    </row>
    <row r="39" spans="1:35" s="32" customFormat="1" ht="23.25" customHeight="1" x14ac:dyDescent="0.25">
      <c r="A39" s="100"/>
      <c r="B39" s="101"/>
      <c r="C39" s="124"/>
      <c r="D39" s="100"/>
      <c r="E39" s="2" t="s">
        <v>16</v>
      </c>
      <c r="F39" s="2"/>
      <c r="G39" s="2"/>
      <c r="H39" s="2"/>
      <c r="I39" s="2">
        <v>4</v>
      </c>
      <c r="J39" s="2">
        <v>3</v>
      </c>
      <c r="K39" s="37"/>
      <c r="L39" s="37"/>
      <c r="M39" s="2"/>
      <c r="N39" s="2"/>
      <c r="O39" s="2"/>
      <c r="P39" s="2"/>
      <c r="Q39" s="2"/>
      <c r="R39" s="37"/>
      <c r="S39" s="37"/>
      <c r="T39" s="2"/>
      <c r="U39" s="2"/>
      <c r="V39" s="2"/>
      <c r="W39" s="2"/>
      <c r="X39" s="2"/>
      <c r="Y39" s="37"/>
      <c r="Z39" s="37"/>
      <c r="AA39" s="2"/>
      <c r="AB39" s="2"/>
      <c r="AC39" s="2"/>
      <c r="AD39" s="2"/>
      <c r="AE39" s="2"/>
      <c r="AF39" s="37"/>
      <c r="AG39" s="37"/>
      <c r="AH39" s="125"/>
      <c r="AI39" s="122"/>
    </row>
    <row r="40" spans="1:35" s="32" customFormat="1" ht="23.25" customHeight="1" x14ac:dyDescent="0.25">
      <c r="A40" s="100"/>
      <c r="B40" s="99" t="s">
        <v>241</v>
      </c>
      <c r="C40" s="124" t="s">
        <v>95</v>
      </c>
      <c r="D40" s="100"/>
      <c r="E40" s="2"/>
      <c r="F40" s="2"/>
      <c r="G40" s="2"/>
      <c r="H40" s="2"/>
      <c r="I40" s="2"/>
      <c r="J40" s="2"/>
      <c r="K40" s="37"/>
      <c r="L40" s="37"/>
      <c r="M40" s="2"/>
      <c r="N40" s="2"/>
      <c r="O40" s="2"/>
      <c r="P40" s="2"/>
      <c r="Q40" s="2">
        <v>5</v>
      </c>
      <c r="R40" s="37"/>
      <c r="S40" s="37"/>
      <c r="T40" s="2"/>
      <c r="U40" s="2"/>
      <c r="V40" s="2"/>
      <c r="W40" s="2"/>
      <c r="X40" s="2">
        <v>5</v>
      </c>
      <c r="Y40" s="37"/>
      <c r="Z40" s="37"/>
      <c r="AA40" s="2"/>
      <c r="AB40" s="2"/>
      <c r="AC40" s="2"/>
      <c r="AD40" s="2"/>
      <c r="AE40" s="2"/>
      <c r="AF40" s="37"/>
      <c r="AG40" s="37"/>
      <c r="AH40" s="125">
        <f>SUM(F40:AG41)</f>
        <v>30</v>
      </c>
      <c r="AI40" s="115">
        <v>30</v>
      </c>
    </row>
    <row r="41" spans="1:35" s="32" customFormat="1" ht="23.25" customHeight="1" x14ac:dyDescent="0.25">
      <c r="A41" s="101"/>
      <c r="B41" s="101"/>
      <c r="C41" s="124"/>
      <c r="D41" s="100"/>
      <c r="E41" s="2"/>
      <c r="F41" s="2"/>
      <c r="G41" s="2"/>
      <c r="H41" s="2"/>
      <c r="I41" s="2"/>
      <c r="J41" s="2"/>
      <c r="K41" s="37"/>
      <c r="L41" s="37"/>
      <c r="M41" s="2"/>
      <c r="N41" s="2"/>
      <c r="O41" s="2"/>
      <c r="P41" s="2">
        <v>5</v>
      </c>
      <c r="Q41" s="2">
        <v>5</v>
      </c>
      <c r="R41" s="37"/>
      <c r="S41" s="37"/>
      <c r="T41" s="2"/>
      <c r="U41" s="2"/>
      <c r="V41" s="2"/>
      <c r="W41" s="2">
        <v>5</v>
      </c>
      <c r="X41" s="2">
        <v>5</v>
      </c>
      <c r="Y41" s="37"/>
      <c r="Z41" s="37"/>
      <c r="AA41" s="2"/>
      <c r="AB41" s="2"/>
      <c r="AC41" s="2"/>
      <c r="AD41" s="2"/>
      <c r="AE41" s="2"/>
      <c r="AF41" s="37"/>
      <c r="AG41" s="37"/>
      <c r="AH41" s="125"/>
      <c r="AI41" s="116"/>
    </row>
    <row r="42" spans="1:35" s="32" customFormat="1" ht="30.75" customHeight="1" x14ac:dyDescent="0.25">
      <c r="A42" s="99" t="s">
        <v>181</v>
      </c>
      <c r="B42" s="123" t="s">
        <v>30</v>
      </c>
      <c r="C42" s="118" t="s">
        <v>94</v>
      </c>
      <c r="D42" s="100"/>
      <c r="E42" s="2" t="s">
        <v>17</v>
      </c>
      <c r="F42" s="2"/>
      <c r="G42" s="2"/>
      <c r="H42" s="2"/>
      <c r="I42" s="2"/>
      <c r="J42" s="2">
        <v>4</v>
      </c>
      <c r="K42" s="37"/>
      <c r="L42" s="37"/>
      <c r="M42" s="2"/>
      <c r="N42" s="2"/>
      <c r="O42" s="2"/>
      <c r="P42" s="2"/>
      <c r="Q42" s="2">
        <v>4</v>
      </c>
      <c r="R42" s="37"/>
      <c r="S42" s="37"/>
      <c r="T42" s="2"/>
      <c r="U42" s="2"/>
      <c r="V42" s="2"/>
      <c r="W42" s="2"/>
      <c r="X42" s="2">
        <v>4</v>
      </c>
      <c r="Y42" s="37"/>
      <c r="Z42" s="37"/>
      <c r="AA42" s="2"/>
      <c r="AB42" s="2"/>
      <c r="AC42" s="2"/>
      <c r="AD42" s="2"/>
      <c r="AE42" s="2"/>
      <c r="AF42" s="37"/>
      <c r="AG42" s="37"/>
      <c r="AH42" s="113">
        <f>SUM(F42:AF43)</f>
        <v>36</v>
      </c>
      <c r="AI42" s="115" t="s">
        <v>271</v>
      </c>
    </row>
    <row r="43" spans="1:35" s="32" customFormat="1" ht="36.75" customHeight="1" x14ac:dyDescent="0.25">
      <c r="A43" s="100"/>
      <c r="B43" s="123"/>
      <c r="C43" s="118"/>
      <c r="D43" s="100"/>
      <c r="E43" s="2" t="s">
        <v>16</v>
      </c>
      <c r="F43" s="2"/>
      <c r="G43" s="2"/>
      <c r="H43" s="2"/>
      <c r="I43" s="2">
        <v>4</v>
      </c>
      <c r="J43" s="2">
        <v>4</v>
      </c>
      <c r="K43" s="37"/>
      <c r="L43" s="37"/>
      <c r="M43" s="2"/>
      <c r="N43" s="2"/>
      <c r="O43" s="2"/>
      <c r="P43" s="2">
        <v>4</v>
      </c>
      <c r="Q43" s="2">
        <v>4</v>
      </c>
      <c r="R43" s="37"/>
      <c r="S43" s="37"/>
      <c r="T43" s="2"/>
      <c r="U43" s="2"/>
      <c r="V43" s="2"/>
      <c r="W43" s="2">
        <v>4</v>
      </c>
      <c r="X43" s="2">
        <v>4</v>
      </c>
      <c r="Y43" s="37"/>
      <c r="Z43" s="37"/>
      <c r="AA43" s="2"/>
      <c r="AB43" s="2"/>
      <c r="AC43" s="2"/>
      <c r="AD43" s="2"/>
      <c r="AE43" s="2"/>
      <c r="AF43" s="37"/>
      <c r="AG43" s="37"/>
      <c r="AH43" s="114"/>
      <c r="AI43" s="116"/>
    </row>
    <row r="44" spans="1:35" s="32" customFormat="1" ht="28.5" customHeight="1" x14ac:dyDescent="0.25">
      <c r="A44" s="118" t="s">
        <v>170</v>
      </c>
      <c r="B44" s="123" t="s">
        <v>30</v>
      </c>
      <c r="C44" s="118" t="s">
        <v>94</v>
      </c>
      <c r="D44" s="143" t="s">
        <v>173</v>
      </c>
      <c r="E44" s="2" t="s">
        <v>17</v>
      </c>
      <c r="F44" s="2"/>
      <c r="G44" s="2"/>
      <c r="H44" s="2"/>
      <c r="I44" s="2"/>
      <c r="J44" s="2"/>
      <c r="K44" s="37">
        <v>5</v>
      </c>
      <c r="L44" s="37"/>
      <c r="M44" s="2"/>
      <c r="N44" s="2"/>
      <c r="O44" s="2"/>
      <c r="P44" s="2"/>
      <c r="Q44" s="2"/>
      <c r="R44" s="37">
        <v>5</v>
      </c>
      <c r="S44" s="37"/>
      <c r="T44" s="2"/>
      <c r="U44" s="2"/>
      <c r="V44" s="2"/>
      <c r="W44" s="2"/>
      <c r="X44" s="2"/>
      <c r="Y44" s="37">
        <v>5</v>
      </c>
      <c r="Z44" s="37"/>
      <c r="AA44" s="2"/>
      <c r="AB44" s="2"/>
      <c r="AC44" s="2"/>
      <c r="AD44" s="2"/>
      <c r="AE44" s="2"/>
      <c r="AF44" s="37"/>
      <c r="AG44" s="37"/>
      <c r="AH44" s="125">
        <v>30</v>
      </c>
      <c r="AI44" s="111" t="s">
        <v>248</v>
      </c>
    </row>
    <row r="45" spans="1:35" s="32" customFormat="1" ht="31.5" customHeight="1" x14ac:dyDescent="0.25">
      <c r="A45" s="118"/>
      <c r="B45" s="123"/>
      <c r="C45" s="118"/>
      <c r="D45" s="144"/>
      <c r="E45" s="2" t="s">
        <v>16</v>
      </c>
      <c r="F45" s="2"/>
      <c r="G45" s="2"/>
      <c r="H45" s="2"/>
      <c r="I45" s="2"/>
      <c r="J45" s="2"/>
      <c r="K45" s="37">
        <v>5</v>
      </c>
      <c r="L45" s="37"/>
      <c r="M45" s="2"/>
      <c r="N45" s="2"/>
      <c r="O45" s="2"/>
      <c r="P45" s="2"/>
      <c r="Q45" s="2"/>
      <c r="R45" s="37">
        <v>5</v>
      </c>
      <c r="S45" s="37"/>
      <c r="T45" s="2"/>
      <c r="U45" s="2"/>
      <c r="V45" s="2"/>
      <c r="W45" s="2"/>
      <c r="X45" s="2"/>
      <c r="Y45" s="37">
        <v>5</v>
      </c>
      <c r="Z45" s="37"/>
      <c r="AA45" s="2"/>
      <c r="AB45" s="2"/>
      <c r="AC45" s="2"/>
      <c r="AD45" s="2"/>
      <c r="AE45" s="2"/>
      <c r="AF45" s="37"/>
      <c r="AG45" s="37"/>
      <c r="AH45" s="125"/>
      <c r="AI45" s="112"/>
    </row>
    <row r="46" spans="1:35" s="32" customFormat="1" ht="56.25" customHeight="1" x14ac:dyDescent="0.25">
      <c r="A46" s="36" t="s">
        <v>109</v>
      </c>
      <c r="B46" s="35" t="s">
        <v>149</v>
      </c>
      <c r="C46" s="35" t="s">
        <v>35</v>
      </c>
      <c r="D46" s="99" t="s">
        <v>110</v>
      </c>
      <c r="E46" s="62" t="s">
        <v>16</v>
      </c>
      <c r="F46" s="2"/>
      <c r="G46" s="2"/>
      <c r="H46" s="2">
        <v>5</v>
      </c>
      <c r="I46" s="2">
        <v>5</v>
      </c>
      <c r="J46" s="2"/>
      <c r="K46" s="37"/>
      <c r="L46" s="37"/>
      <c r="M46" s="62"/>
      <c r="N46" s="62"/>
      <c r="O46" s="2">
        <v>5</v>
      </c>
      <c r="P46" s="2"/>
      <c r="Q46" s="2"/>
      <c r="R46" s="65"/>
      <c r="S46" s="37"/>
      <c r="T46" s="62"/>
      <c r="U46" s="62"/>
      <c r="V46" s="2"/>
      <c r="W46" s="2"/>
      <c r="X46" s="2"/>
      <c r="Y46" s="65"/>
      <c r="Z46" s="37"/>
      <c r="AA46" s="2"/>
      <c r="AB46" s="2"/>
      <c r="AC46" s="2"/>
      <c r="AD46" s="2"/>
      <c r="AE46" s="2"/>
      <c r="AF46" s="37"/>
      <c r="AG46" s="37"/>
      <c r="AH46" s="68">
        <f>SUM(F46:AF46)</f>
        <v>15</v>
      </c>
      <c r="AI46" s="57" t="s">
        <v>108</v>
      </c>
    </row>
    <row r="47" spans="1:35" s="32" customFormat="1" ht="67.5" customHeight="1" x14ac:dyDescent="0.25">
      <c r="A47" s="67" t="s">
        <v>183</v>
      </c>
      <c r="B47" s="34" t="s">
        <v>171</v>
      </c>
      <c r="C47" s="35" t="s">
        <v>35</v>
      </c>
      <c r="D47" s="100"/>
      <c r="E47" s="2" t="s">
        <v>17</v>
      </c>
      <c r="F47" s="62"/>
      <c r="G47" s="62"/>
      <c r="H47" s="62"/>
      <c r="I47" s="62"/>
      <c r="J47" s="62"/>
      <c r="K47" s="65"/>
      <c r="L47" s="65"/>
      <c r="M47" s="62"/>
      <c r="N47" s="62"/>
      <c r="O47" s="2">
        <v>5</v>
      </c>
      <c r="P47" s="2">
        <v>5</v>
      </c>
      <c r="Q47" s="2"/>
      <c r="R47" s="65"/>
      <c r="S47" s="37"/>
      <c r="T47" s="62"/>
      <c r="U47" s="62"/>
      <c r="V47" s="2">
        <v>5</v>
      </c>
      <c r="W47" s="2">
        <v>5</v>
      </c>
      <c r="X47" s="2"/>
      <c r="Y47" s="65"/>
      <c r="Z47" s="37"/>
      <c r="AA47" s="2"/>
      <c r="AB47" s="2"/>
      <c r="AC47" s="2"/>
      <c r="AD47" s="2"/>
      <c r="AE47" s="2"/>
      <c r="AF47" s="37"/>
      <c r="AG47" s="37"/>
      <c r="AH47" s="68">
        <f>SUM(F47:AF47)</f>
        <v>20</v>
      </c>
      <c r="AI47" s="69">
        <v>36</v>
      </c>
    </row>
    <row r="48" spans="1:35" s="32" customFormat="1" ht="28.5" customHeight="1" x14ac:dyDescent="0.25">
      <c r="A48" s="118" t="s">
        <v>215</v>
      </c>
      <c r="B48" s="99" t="s">
        <v>251</v>
      </c>
      <c r="C48" s="118" t="s">
        <v>31</v>
      </c>
      <c r="D48" s="118" t="s">
        <v>222</v>
      </c>
      <c r="E48" s="2" t="s">
        <v>17</v>
      </c>
      <c r="F48" s="2"/>
      <c r="G48" s="2"/>
      <c r="H48" s="2"/>
      <c r="I48" s="2"/>
      <c r="J48" s="2"/>
      <c r="K48" s="37">
        <v>5</v>
      </c>
      <c r="L48" s="37"/>
      <c r="M48" s="2"/>
      <c r="N48" s="2"/>
      <c r="O48" s="2"/>
      <c r="P48" s="2"/>
      <c r="Q48" s="2"/>
      <c r="R48" s="37">
        <v>5</v>
      </c>
      <c r="S48" s="37"/>
      <c r="T48" s="2"/>
      <c r="U48" s="2"/>
      <c r="V48" s="2"/>
      <c r="W48" s="2"/>
      <c r="X48" s="2"/>
      <c r="Y48" s="37">
        <v>5</v>
      </c>
      <c r="Z48" s="37"/>
      <c r="AA48" s="2"/>
      <c r="AB48" s="2"/>
      <c r="AC48" s="2"/>
      <c r="AD48" s="2"/>
      <c r="AE48" s="2"/>
      <c r="AF48" s="37"/>
      <c r="AG48" s="37"/>
      <c r="AH48" s="125">
        <f>SUM(F48:AF50)</f>
        <v>39</v>
      </c>
      <c r="AI48" s="111" t="s">
        <v>256</v>
      </c>
    </row>
    <row r="49" spans="1:35" s="32" customFormat="1" ht="28.5" customHeight="1" x14ac:dyDescent="0.25">
      <c r="A49" s="118"/>
      <c r="B49" s="100"/>
      <c r="C49" s="118"/>
      <c r="D49" s="118"/>
      <c r="E49" s="2" t="s">
        <v>16</v>
      </c>
      <c r="F49" s="2"/>
      <c r="G49" s="2"/>
      <c r="H49" s="2"/>
      <c r="I49" s="2"/>
      <c r="J49" s="2"/>
      <c r="K49" s="37">
        <v>4</v>
      </c>
      <c r="L49" s="37"/>
      <c r="M49" s="2"/>
      <c r="N49" s="2"/>
      <c r="O49" s="2"/>
      <c r="P49" s="2"/>
      <c r="Q49" s="2"/>
      <c r="R49" s="37">
        <v>4</v>
      </c>
      <c r="S49" s="37"/>
      <c r="T49" s="2"/>
      <c r="U49" s="2"/>
      <c r="V49" s="2"/>
      <c r="W49" s="2"/>
      <c r="X49" s="2"/>
      <c r="Y49" s="37">
        <v>4</v>
      </c>
      <c r="Z49" s="37"/>
      <c r="AA49" s="2"/>
      <c r="AB49" s="2"/>
      <c r="AC49" s="2"/>
      <c r="AD49" s="2"/>
      <c r="AE49" s="2"/>
      <c r="AF49" s="37"/>
      <c r="AG49" s="37"/>
      <c r="AH49" s="125"/>
      <c r="AI49" s="137"/>
    </row>
    <row r="50" spans="1:35" s="32" customFormat="1" ht="31.5" customHeight="1" x14ac:dyDescent="0.25">
      <c r="A50" s="118"/>
      <c r="B50" s="101"/>
      <c r="C50" s="118"/>
      <c r="D50" s="118"/>
      <c r="E50" s="2" t="s">
        <v>216</v>
      </c>
      <c r="F50" s="2"/>
      <c r="G50" s="2"/>
      <c r="H50" s="2"/>
      <c r="I50" s="2"/>
      <c r="J50" s="2">
        <v>4</v>
      </c>
      <c r="K50" s="37"/>
      <c r="L50" s="37"/>
      <c r="M50" s="2"/>
      <c r="N50" s="2"/>
      <c r="O50" s="2"/>
      <c r="P50" s="2"/>
      <c r="Q50" s="2">
        <v>4</v>
      </c>
      <c r="R50" s="37"/>
      <c r="S50" s="37"/>
      <c r="T50" s="2"/>
      <c r="U50" s="2"/>
      <c r="V50" s="2"/>
      <c r="W50" s="2"/>
      <c r="X50" s="2">
        <v>4</v>
      </c>
      <c r="Y50" s="37"/>
      <c r="Z50" s="37"/>
      <c r="AA50" s="2"/>
      <c r="AB50" s="2"/>
      <c r="AC50" s="2"/>
      <c r="AD50" s="2"/>
      <c r="AE50" s="2"/>
      <c r="AF50" s="37"/>
      <c r="AG50" s="37"/>
      <c r="AH50" s="125"/>
      <c r="AI50" s="112"/>
    </row>
    <row r="51" spans="1:35" s="32" customFormat="1" ht="24.75" customHeight="1" x14ac:dyDescent="0.25">
      <c r="A51" s="99" t="s">
        <v>102</v>
      </c>
      <c r="B51" s="123" t="s">
        <v>25</v>
      </c>
      <c r="C51" s="124" t="s">
        <v>124</v>
      </c>
      <c r="D51" s="99" t="s">
        <v>99</v>
      </c>
      <c r="E51" s="2" t="s">
        <v>15</v>
      </c>
      <c r="F51" s="2"/>
      <c r="G51" s="2"/>
      <c r="H51" s="2"/>
      <c r="I51" s="2"/>
      <c r="J51" s="2"/>
      <c r="K51" s="37">
        <v>4</v>
      </c>
      <c r="L51" s="37"/>
      <c r="M51" s="2"/>
      <c r="N51" s="2"/>
      <c r="O51" s="2"/>
      <c r="P51" s="2"/>
      <c r="Q51" s="2"/>
      <c r="R51" s="37">
        <v>4</v>
      </c>
      <c r="S51" s="37"/>
      <c r="T51" s="2"/>
      <c r="U51" s="2"/>
      <c r="V51" s="2"/>
      <c r="W51" s="2"/>
      <c r="X51" s="2"/>
      <c r="Y51" s="37">
        <v>4</v>
      </c>
      <c r="Z51" s="37"/>
      <c r="AA51" s="2"/>
      <c r="AB51" s="2"/>
      <c r="AC51" s="2"/>
      <c r="AD51" s="2"/>
      <c r="AE51" s="2"/>
      <c r="AF51" s="37"/>
      <c r="AG51" s="37"/>
      <c r="AH51" s="113">
        <f>SUM(J51:AG52)</f>
        <v>24</v>
      </c>
      <c r="AI51" s="115" t="s">
        <v>159</v>
      </c>
    </row>
    <row r="52" spans="1:35" s="32" customFormat="1" ht="48" customHeight="1" x14ac:dyDescent="0.25">
      <c r="A52" s="100"/>
      <c r="B52" s="123"/>
      <c r="C52" s="124"/>
      <c r="D52" s="100"/>
      <c r="E52" s="2" t="s">
        <v>16</v>
      </c>
      <c r="F52" s="2"/>
      <c r="G52" s="2"/>
      <c r="H52" s="2"/>
      <c r="I52" s="2"/>
      <c r="J52" s="2"/>
      <c r="K52" s="37">
        <v>4</v>
      </c>
      <c r="L52" s="37"/>
      <c r="M52" s="2"/>
      <c r="N52" s="2"/>
      <c r="O52" s="2"/>
      <c r="P52" s="2"/>
      <c r="Q52" s="2"/>
      <c r="R52" s="37">
        <v>4</v>
      </c>
      <c r="S52" s="37"/>
      <c r="T52" s="2"/>
      <c r="U52" s="2"/>
      <c r="V52" s="2"/>
      <c r="W52" s="2"/>
      <c r="X52" s="2"/>
      <c r="Y52" s="37">
        <v>4</v>
      </c>
      <c r="Z52" s="37"/>
      <c r="AA52" s="2"/>
      <c r="AB52" s="2"/>
      <c r="AC52" s="2"/>
      <c r="AD52" s="2"/>
      <c r="AE52" s="2"/>
      <c r="AF52" s="37"/>
      <c r="AG52" s="37"/>
      <c r="AH52" s="114"/>
      <c r="AI52" s="116"/>
    </row>
    <row r="53" spans="1:35" s="32" customFormat="1" ht="33.75" customHeight="1" x14ac:dyDescent="0.25">
      <c r="A53" s="118" t="s">
        <v>217</v>
      </c>
      <c r="B53" s="136" t="s">
        <v>30</v>
      </c>
      <c r="C53" s="99" t="s">
        <v>26</v>
      </c>
      <c r="D53" s="118" t="s">
        <v>218</v>
      </c>
      <c r="E53" s="2" t="s">
        <v>228</v>
      </c>
      <c r="F53" s="2"/>
      <c r="G53" s="2"/>
      <c r="H53" s="2"/>
      <c r="I53" s="2"/>
      <c r="J53" s="2"/>
      <c r="K53" s="37">
        <v>5</v>
      </c>
      <c r="L53" s="37"/>
      <c r="M53" s="2"/>
      <c r="N53" s="2"/>
      <c r="O53" s="2"/>
      <c r="P53" s="2"/>
      <c r="Q53" s="2"/>
      <c r="R53" s="37">
        <v>5</v>
      </c>
      <c r="S53" s="37"/>
      <c r="T53" s="2"/>
      <c r="U53" s="2"/>
      <c r="V53" s="2"/>
      <c r="W53" s="2"/>
      <c r="X53" s="2"/>
      <c r="Y53" s="37">
        <v>5</v>
      </c>
      <c r="Z53" s="37"/>
      <c r="AA53" s="2"/>
      <c r="AB53" s="2"/>
      <c r="AC53" s="2"/>
      <c r="AD53" s="2"/>
      <c r="AE53" s="2"/>
      <c r="AF53" s="37"/>
      <c r="AG53" s="37"/>
      <c r="AH53" s="113">
        <f>SUM(F53:AF54)</f>
        <v>30</v>
      </c>
      <c r="AI53" s="134" t="s">
        <v>180</v>
      </c>
    </row>
    <row r="54" spans="1:35" s="32" customFormat="1" ht="33.75" customHeight="1" x14ac:dyDescent="0.25">
      <c r="A54" s="118"/>
      <c r="B54" s="136"/>
      <c r="C54" s="101"/>
      <c r="D54" s="118"/>
      <c r="E54" s="2" t="s">
        <v>204</v>
      </c>
      <c r="F54" s="2"/>
      <c r="G54" s="2"/>
      <c r="H54" s="2"/>
      <c r="I54" s="2"/>
      <c r="J54" s="2"/>
      <c r="K54" s="37">
        <v>5</v>
      </c>
      <c r="L54" s="37"/>
      <c r="M54" s="2"/>
      <c r="N54" s="2"/>
      <c r="O54" s="2"/>
      <c r="P54" s="2"/>
      <c r="Q54" s="2"/>
      <c r="R54" s="37">
        <v>5</v>
      </c>
      <c r="S54" s="37"/>
      <c r="T54" s="2"/>
      <c r="U54" s="2"/>
      <c r="V54" s="2"/>
      <c r="W54" s="2"/>
      <c r="X54" s="2"/>
      <c r="Y54" s="37">
        <v>5</v>
      </c>
      <c r="Z54" s="37"/>
      <c r="AA54" s="2"/>
      <c r="AB54" s="2"/>
      <c r="AC54" s="2"/>
      <c r="AD54" s="2"/>
      <c r="AE54" s="2"/>
      <c r="AF54" s="37"/>
      <c r="AG54" s="37"/>
      <c r="AH54" s="114"/>
      <c r="AI54" s="135"/>
    </row>
    <row r="55" spans="1:35" s="32" customFormat="1" ht="33.75" customHeight="1" x14ac:dyDescent="0.25">
      <c r="A55" s="118" t="s">
        <v>220</v>
      </c>
      <c r="B55" s="136"/>
      <c r="C55" s="118"/>
      <c r="D55" s="118" t="s">
        <v>218</v>
      </c>
      <c r="E55" s="2" t="s">
        <v>17</v>
      </c>
      <c r="F55" s="2"/>
      <c r="G55" s="2"/>
      <c r="H55" s="2"/>
      <c r="I55" s="2"/>
      <c r="J55" s="2"/>
      <c r="K55" s="37"/>
      <c r="L55" s="37"/>
      <c r="M55" s="2"/>
      <c r="N55" s="2"/>
      <c r="O55" s="2"/>
      <c r="P55" s="2"/>
      <c r="Q55" s="2"/>
      <c r="R55" s="37">
        <v>4</v>
      </c>
      <c r="S55" s="37"/>
      <c r="T55" s="2"/>
      <c r="U55" s="2"/>
      <c r="V55" s="2"/>
      <c r="W55" s="2"/>
      <c r="X55" s="2"/>
      <c r="Y55" s="37">
        <v>4</v>
      </c>
      <c r="Z55" s="37"/>
      <c r="AA55" s="2"/>
      <c r="AB55" s="2"/>
      <c r="AC55" s="2"/>
      <c r="AD55" s="2"/>
      <c r="AE55" s="2"/>
      <c r="AF55" s="37">
        <v>4</v>
      </c>
      <c r="AG55" s="37"/>
      <c r="AH55" s="113">
        <f>SUM(L55:AF56)</f>
        <v>24</v>
      </c>
      <c r="AI55" s="134" t="s">
        <v>159</v>
      </c>
    </row>
    <row r="56" spans="1:35" s="32" customFormat="1" ht="33.75" customHeight="1" x14ac:dyDescent="0.25">
      <c r="A56" s="118"/>
      <c r="B56" s="136"/>
      <c r="C56" s="118"/>
      <c r="D56" s="118"/>
      <c r="E56" s="2" t="s">
        <v>16</v>
      </c>
      <c r="F56" s="2"/>
      <c r="G56" s="2"/>
      <c r="H56" s="2"/>
      <c r="I56" s="2"/>
      <c r="J56" s="2"/>
      <c r="K56" s="37"/>
      <c r="L56" s="37"/>
      <c r="M56" s="2"/>
      <c r="N56" s="2"/>
      <c r="O56" s="2"/>
      <c r="P56" s="2"/>
      <c r="Q56" s="2"/>
      <c r="R56" s="37">
        <v>4</v>
      </c>
      <c r="S56" s="37"/>
      <c r="T56" s="2"/>
      <c r="U56" s="2"/>
      <c r="V56" s="2"/>
      <c r="W56" s="2"/>
      <c r="X56" s="2"/>
      <c r="Y56" s="37">
        <v>4</v>
      </c>
      <c r="Z56" s="37"/>
      <c r="AA56" s="2"/>
      <c r="AB56" s="2"/>
      <c r="AC56" s="2"/>
      <c r="AD56" s="2"/>
      <c r="AE56" s="2"/>
      <c r="AF56" s="37">
        <v>4</v>
      </c>
      <c r="AG56" s="37"/>
      <c r="AH56" s="114"/>
      <c r="AI56" s="135"/>
    </row>
    <row r="57" spans="1:35" s="32" customFormat="1" ht="33.75" customHeight="1" x14ac:dyDescent="0.25">
      <c r="A57" s="118" t="s">
        <v>221</v>
      </c>
      <c r="B57" s="136"/>
      <c r="C57" s="131"/>
      <c r="D57" s="118" t="s">
        <v>218</v>
      </c>
      <c r="E57" s="2" t="s">
        <v>17</v>
      </c>
      <c r="F57" s="2"/>
      <c r="G57" s="2"/>
      <c r="H57" s="2"/>
      <c r="I57" s="2"/>
      <c r="J57" s="2"/>
      <c r="K57" s="37"/>
      <c r="L57" s="37"/>
      <c r="M57" s="2"/>
      <c r="N57" s="2"/>
      <c r="O57" s="2"/>
      <c r="P57" s="2"/>
      <c r="Q57" s="2"/>
      <c r="R57" s="37">
        <v>4</v>
      </c>
      <c r="S57" s="37"/>
      <c r="T57" s="2"/>
      <c r="U57" s="2"/>
      <c r="V57" s="2"/>
      <c r="W57" s="2"/>
      <c r="X57" s="2"/>
      <c r="Y57" s="37">
        <v>4</v>
      </c>
      <c r="Z57" s="37"/>
      <c r="AA57" s="2"/>
      <c r="AB57" s="2"/>
      <c r="AC57" s="2"/>
      <c r="AD57" s="2"/>
      <c r="AE57" s="2"/>
      <c r="AF57" s="37">
        <v>4</v>
      </c>
      <c r="AG57" s="37"/>
      <c r="AH57" s="113">
        <f>SUM(L57:AF58)</f>
        <v>24</v>
      </c>
      <c r="AI57" s="134" t="s">
        <v>219</v>
      </c>
    </row>
    <row r="58" spans="1:35" s="32" customFormat="1" ht="33.75" customHeight="1" x14ac:dyDescent="0.25">
      <c r="A58" s="118"/>
      <c r="B58" s="136"/>
      <c r="C58" s="132"/>
      <c r="D58" s="118"/>
      <c r="E58" s="2" t="s">
        <v>16</v>
      </c>
      <c r="F58" s="2"/>
      <c r="G58" s="2"/>
      <c r="H58" s="2"/>
      <c r="I58" s="2"/>
      <c r="J58" s="2"/>
      <c r="K58" s="37"/>
      <c r="L58" s="37"/>
      <c r="M58" s="2"/>
      <c r="N58" s="2"/>
      <c r="O58" s="2"/>
      <c r="P58" s="2"/>
      <c r="Q58" s="2"/>
      <c r="R58" s="37">
        <v>4</v>
      </c>
      <c r="S58" s="37"/>
      <c r="T58" s="2"/>
      <c r="U58" s="2"/>
      <c r="V58" s="2"/>
      <c r="W58" s="2"/>
      <c r="X58" s="2"/>
      <c r="Y58" s="37">
        <v>4</v>
      </c>
      <c r="Z58" s="37"/>
      <c r="AA58" s="2"/>
      <c r="AB58" s="2"/>
      <c r="AC58" s="2"/>
      <c r="AD58" s="2"/>
      <c r="AE58" s="2"/>
      <c r="AF58" s="37">
        <v>4</v>
      </c>
      <c r="AG58" s="37"/>
      <c r="AH58" s="114"/>
      <c r="AI58" s="135"/>
    </row>
    <row r="59" spans="1:35" s="32" customFormat="1" ht="28.5" customHeight="1" x14ac:dyDescent="0.25">
      <c r="A59" s="118" t="s">
        <v>243</v>
      </c>
      <c r="B59" s="40" t="s">
        <v>249</v>
      </c>
      <c r="C59" s="36" t="s">
        <v>31</v>
      </c>
      <c r="D59" s="118" t="s">
        <v>245</v>
      </c>
      <c r="E59" s="2" t="s">
        <v>16</v>
      </c>
      <c r="F59" s="2">
        <v>4</v>
      </c>
      <c r="G59" s="2"/>
      <c r="H59" s="2"/>
      <c r="I59" s="2">
        <v>4</v>
      </c>
      <c r="J59" s="2"/>
      <c r="K59" s="37"/>
      <c r="L59" s="37"/>
      <c r="M59" s="2">
        <v>4</v>
      </c>
      <c r="N59" s="2"/>
      <c r="O59" s="2"/>
      <c r="P59" s="2"/>
      <c r="Q59" s="2">
        <v>4</v>
      </c>
      <c r="R59" s="37"/>
      <c r="S59" s="37"/>
      <c r="T59" s="2">
        <v>4</v>
      </c>
      <c r="U59" s="2"/>
      <c r="V59" s="2"/>
      <c r="W59" s="2"/>
      <c r="X59" s="2">
        <v>4</v>
      </c>
      <c r="Y59" s="37"/>
      <c r="Z59" s="37"/>
      <c r="AA59" s="2">
        <v>4</v>
      </c>
      <c r="AB59" s="2"/>
      <c r="AC59" s="2"/>
      <c r="AD59" s="2"/>
      <c r="AE59" s="2">
        <v>4</v>
      </c>
      <c r="AF59" s="37"/>
      <c r="AG59" s="37"/>
      <c r="AH59" s="2">
        <f>SUM(F59:Y59)</f>
        <v>24</v>
      </c>
      <c r="AI59" s="96" t="s">
        <v>190</v>
      </c>
    </row>
    <row r="60" spans="1:35" s="32" customFormat="1" ht="28.5" customHeight="1" x14ac:dyDescent="0.25">
      <c r="A60" s="118"/>
      <c r="B60" s="92" t="s">
        <v>88</v>
      </c>
      <c r="C60" s="40" t="s">
        <v>87</v>
      </c>
      <c r="D60" s="118"/>
      <c r="E60" s="2" t="s">
        <v>216</v>
      </c>
      <c r="F60" s="2"/>
      <c r="G60" s="2"/>
      <c r="H60" s="2"/>
      <c r="I60" s="2"/>
      <c r="J60" s="2"/>
      <c r="K60" s="37">
        <v>4</v>
      </c>
      <c r="L60" s="37"/>
      <c r="M60" s="2"/>
      <c r="N60" s="2"/>
      <c r="O60" s="2"/>
      <c r="P60" s="2"/>
      <c r="Q60" s="2"/>
      <c r="R60" s="37">
        <v>4</v>
      </c>
      <c r="S60" s="37"/>
      <c r="T60" s="2"/>
      <c r="U60" s="2"/>
      <c r="V60" s="2"/>
      <c r="W60" s="2"/>
      <c r="X60" s="2"/>
      <c r="Y60" s="37">
        <v>4</v>
      </c>
      <c r="Z60" s="37"/>
      <c r="AA60" s="2"/>
      <c r="AB60" s="2"/>
      <c r="AC60" s="2"/>
      <c r="AD60" s="2"/>
      <c r="AE60" s="2"/>
      <c r="AF60" s="37">
        <v>4</v>
      </c>
      <c r="AG60" s="37"/>
      <c r="AH60" s="2">
        <v>12</v>
      </c>
      <c r="AI60" s="95" t="s">
        <v>267</v>
      </c>
    </row>
    <row r="61" spans="1:35" x14ac:dyDescent="0.3">
      <c r="D61" s="4" t="s">
        <v>29</v>
      </c>
      <c r="AB61" s="29"/>
    </row>
    <row r="63" spans="1:35" ht="12.75" customHeight="1" x14ac:dyDescent="0.3"/>
    <row r="64" spans="1:35" ht="12" customHeight="1" x14ac:dyDescent="0.3"/>
    <row r="65" spans="1:35" ht="10.5" customHeight="1" x14ac:dyDescent="0.3"/>
    <row r="66" spans="1:35" x14ac:dyDescent="0.3">
      <c r="E66" s="29" t="s">
        <v>113</v>
      </c>
      <c r="K66" s="29"/>
      <c r="L66" s="29"/>
      <c r="M66" s="29"/>
      <c r="N66" s="29"/>
      <c r="O66" s="29"/>
      <c r="P66" s="29"/>
      <c r="Q66" s="29"/>
      <c r="R66" s="29"/>
      <c r="Y66" s="29" t="s">
        <v>22</v>
      </c>
      <c r="Z66" s="29"/>
      <c r="AA66" s="29"/>
      <c r="AB66" s="29"/>
      <c r="AC66" s="29"/>
      <c r="AD66" s="29"/>
      <c r="AE66" s="29"/>
      <c r="AF66" s="29"/>
      <c r="AG66" s="29"/>
    </row>
    <row r="68" spans="1:35" s="27" customFormat="1" ht="18" hidden="1" customHeight="1" x14ac:dyDescent="0.25">
      <c r="A68" s="108" t="s">
        <v>0</v>
      </c>
      <c r="B68" s="108"/>
      <c r="C68" s="108"/>
      <c r="D68" s="108"/>
      <c r="E68" s="3"/>
      <c r="P68" s="28" t="s">
        <v>1</v>
      </c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43"/>
      <c r="AI68" s="55"/>
    </row>
    <row r="69" spans="1:35" s="27" customFormat="1" ht="16.5" hidden="1" customHeight="1" x14ac:dyDescent="0.25">
      <c r="A69" s="109" t="s">
        <v>2</v>
      </c>
      <c r="B69" s="109"/>
      <c r="C69" s="109"/>
      <c r="D69" s="109"/>
      <c r="E69" s="3"/>
      <c r="L69" s="109" t="s">
        <v>3</v>
      </c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43"/>
      <c r="AI69" s="55"/>
    </row>
    <row r="70" spans="1:35" ht="16.5" hidden="1" customHeight="1" x14ac:dyDescent="0.3"/>
    <row r="71" spans="1:35" ht="16.5" hidden="1" customHeight="1" x14ac:dyDescent="0.3">
      <c r="A71" s="97" t="s">
        <v>20</v>
      </c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</row>
    <row r="72" spans="1:35" ht="16.5" hidden="1" customHeight="1" x14ac:dyDescent="0.3">
      <c r="A72" s="97" t="s">
        <v>24</v>
      </c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</row>
    <row r="73" spans="1:35" ht="16.5" hidden="1" customHeight="1" x14ac:dyDescent="0.3"/>
    <row r="74" spans="1:35" s="32" customFormat="1" ht="16.5" hidden="1" customHeight="1" x14ac:dyDescent="0.25">
      <c r="A74" s="102" t="s">
        <v>4</v>
      </c>
      <c r="B74" s="102" t="s">
        <v>5</v>
      </c>
      <c r="C74" s="103" t="s">
        <v>11</v>
      </c>
      <c r="D74" s="104"/>
      <c r="E74" s="105"/>
      <c r="F74" s="106">
        <v>1</v>
      </c>
      <c r="G74" s="106"/>
      <c r="H74" s="106"/>
      <c r="I74" s="106"/>
      <c r="J74" s="106"/>
      <c r="K74" s="106"/>
      <c r="L74" s="106"/>
      <c r="M74" s="106">
        <v>2</v>
      </c>
      <c r="N74" s="106"/>
      <c r="O74" s="106"/>
      <c r="P74" s="106"/>
      <c r="Q74" s="106"/>
      <c r="R74" s="106"/>
      <c r="S74" s="106"/>
      <c r="T74" s="106">
        <v>3</v>
      </c>
      <c r="U74" s="106"/>
      <c r="V74" s="106"/>
      <c r="W74" s="106"/>
      <c r="X74" s="106"/>
      <c r="Y74" s="106"/>
      <c r="Z74" s="106"/>
      <c r="AA74" s="106">
        <v>4</v>
      </c>
      <c r="AB74" s="106"/>
      <c r="AC74" s="106"/>
      <c r="AD74" s="106"/>
      <c r="AE74" s="106"/>
      <c r="AF74" s="106"/>
      <c r="AG74" s="106"/>
      <c r="AH74" s="104"/>
      <c r="AI74" s="105"/>
    </row>
    <row r="75" spans="1:35" s="32" customFormat="1" ht="16.5" hidden="1" customHeight="1" x14ac:dyDescent="0.25">
      <c r="A75" s="102"/>
      <c r="B75" s="102"/>
      <c r="C75" s="103" t="s">
        <v>10</v>
      </c>
      <c r="D75" s="104"/>
      <c r="E75" s="105"/>
      <c r="F75" s="1">
        <v>30</v>
      </c>
      <c r="G75" s="1">
        <v>1</v>
      </c>
      <c r="H75" s="1">
        <v>2</v>
      </c>
      <c r="I75" s="1">
        <v>3</v>
      </c>
      <c r="J75" s="1">
        <v>4</v>
      </c>
      <c r="K75" s="1">
        <v>5</v>
      </c>
      <c r="L75" s="33">
        <v>6</v>
      </c>
      <c r="M75" s="1">
        <v>7</v>
      </c>
      <c r="N75" s="1">
        <v>8</v>
      </c>
      <c r="O75" s="1">
        <v>9</v>
      </c>
      <c r="P75" s="1">
        <v>10</v>
      </c>
      <c r="Q75" s="1">
        <v>11</v>
      </c>
      <c r="R75" s="33">
        <v>12</v>
      </c>
      <c r="S75" s="33">
        <v>13</v>
      </c>
      <c r="T75" s="1">
        <v>14</v>
      </c>
      <c r="U75" s="1">
        <v>15</v>
      </c>
      <c r="V75" s="1">
        <v>16</v>
      </c>
      <c r="W75" s="1">
        <v>17</v>
      </c>
      <c r="X75" s="1">
        <v>18</v>
      </c>
      <c r="Y75" s="33">
        <v>19</v>
      </c>
      <c r="Z75" s="33">
        <v>20</v>
      </c>
      <c r="AA75" s="1">
        <v>21</v>
      </c>
      <c r="AB75" s="1">
        <v>22</v>
      </c>
      <c r="AC75" s="1">
        <v>23</v>
      </c>
      <c r="AD75" s="1">
        <v>24</v>
      </c>
      <c r="AE75" s="1">
        <v>25</v>
      </c>
      <c r="AF75" s="1">
        <v>26</v>
      </c>
      <c r="AG75" s="1">
        <v>27</v>
      </c>
      <c r="AH75" s="42">
        <v>29</v>
      </c>
      <c r="AI75" s="60">
        <v>30</v>
      </c>
    </row>
    <row r="76" spans="1:35" s="32" customFormat="1" ht="16.5" hidden="1" customHeight="1" x14ac:dyDescent="0.25">
      <c r="A76" s="102"/>
      <c r="B76" s="102"/>
      <c r="C76" s="1" t="s">
        <v>6</v>
      </c>
      <c r="D76" s="1" t="s">
        <v>19</v>
      </c>
      <c r="E76" s="1" t="s">
        <v>18</v>
      </c>
      <c r="F76" s="1">
        <v>2</v>
      </c>
      <c r="G76" s="1">
        <v>3</v>
      </c>
      <c r="H76" s="1">
        <v>4</v>
      </c>
      <c r="I76" s="1">
        <v>5</v>
      </c>
      <c r="J76" s="1">
        <v>6</v>
      </c>
      <c r="K76" s="1">
        <v>7</v>
      </c>
      <c r="L76" s="33" t="s">
        <v>7</v>
      </c>
      <c r="M76" s="1">
        <v>2</v>
      </c>
      <c r="N76" s="1">
        <v>3</v>
      </c>
      <c r="O76" s="1">
        <v>4</v>
      </c>
      <c r="P76" s="1">
        <v>5</v>
      </c>
      <c r="Q76" s="1">
        <v>6</v>
      </c>
      <c r="R76" s="33">
        <v>7</v>
      </c>
      <c r="S76" s="33" t="s">
        <v>7</v>
      </c>
      <c r="T76" s="1">
        <v>2</v>
      </c>
      <c r="U76" s="1">
        <v>3</v>
      </c>
      <c r="V76" s="1">
        <v>4</v>
      </c>
      <c r="W76" s="1">
        <v>5</v>
      </c>
      <c r="X76" s="1">
        <v>6</v>
      </c>
      <c r="Y76" s="33">
        <v>7</v>
      </c>
      <c r="Z76" s="33" t="s">
        <v>7</v>
      </c>
      <c r="AA76" s="1">
        <v>2</v>
      </c>
      <c r="AB76" s="1">
        <v>3</v>
      </c>
      <c r="AC76" s="1">
        <v>4</v>
      </c>
      <c r="AD76" s="1">
        <v>5</v>
      </c>
      <c r="AE76" s="1">
        <v>6</v>
      </c>
      <c r="AF76" s="33">
        <v>7</v>
      </c>
      <c r="AG76" s="33" t="s">
        <v>7</v>
      </c>
      <c r="AH76" s="42">
        <v>3</v>
      </c>
      <c r="AI76" s="60">
        <v>4</v>
      </c>
    </row>
    <row r="77" spans="1:35" s="32" customFormat="1" ht="16.5" hidden="1" customHeight="1" x14ac:dyDescent="0.25">
      <c r="A77" s="99" t="s">
        <v>90</v>
      </c>
      <c r="B77" s="34" t="s">
        <v>26</v>
      </c>
      <c r="C77" s="35" t="s">
        <v>30</v>
      </c>
      <c r="D77" s="36" t="s">
        <v>85</v>
      </c>
      <c r="E77" s="2" t="s">
        <v>15</v>
      </c>
      <c r="F77" s="1">
        <v>4</v>
      </c>
      <c r="G77" s="1">
        <v>4</v>
      </c>
      <c r="H77" s="1"/>
      <c r="I77" s="1"/>
      <c r="J77" s="1"/>
      <c r="K77" s="34"/>
      <c r="L77" s="34"/>
      <c r="M77" s="34">
        <v>4</v>
      </c>
      <c r="N77" s="34"/>
      <c r="O77" s="34"/>
      <c r="P77" s="34"/>
      <c r="Q77" s="34"/>
      <c r="R77" s="34"/>
      <c r="S77" s="34"/>
      <c r="T77" s="34">
        <v>4</v>
      </c>
      <c r="U77" s="34">
        <v>4</v>
      </c>
      <c r="V77" s="34"/>
      <c r="W77" s="34"/>
      <c r="X77" s="34"/>
      <c r="Y77" s="34"/>
      <c r="Z77" s="34"/>
      <c r="AA77" s="34">
        <v>4</v>
      </c>
      <c r="AB77" s="34">
        <v>4</v>
      </c>
      <c r="AC77" s="34"/>
      <c r="AD77" s="34"/>
      <c r="AE77" s="34"/>
      <c r="AF77" s="34"/>
      <c r="AG77" s="34"/>
      <c r="AH77" s="42">
        <v>4</v>
      </c>
      <c r="AI77" s="60"/>
    </row>
    <row r="78" spans="1:35" s="32" customFormat="1" ht="16.5" hidden="1" customHeight="1" x14ac:dyDescent="0.25">
      <c r="A78" s="100"/>
      <c r="B78" s="38" t="s">
        <v>31</v>
      </c>
      <c r="C78" s="35" t="s">
        <v>32</v>
      </c>
      <c r="D78" s="36" t="s">
        <v>85</v>
      </c>
      <c r="E78" s="2" t="s">
        <v>15</v>
      </c>
      <c r="F78" s="1"/>
      <c r="G78" s="1"/>
      <c r="H78" s="1"/>
      <c r="I78" s="1"/>
      <c r="J78" s="1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42"/>
      <c r="AI78" s="60"/>
    </row>
    <row r="79" spans="1:35" s="32" customFormat="1" ht="16.5" hidden="1" customHeight="1" x14ac:dyDescent="0.25">
      <c r="A79" s="100"/>
      <c r="B79" s="38" t="s">
        <v>35</v>
      </c>
      <c r="C79" s="35" t="s">
        <v>36</v>
      </c>
      <c r="D79" s="36" t="s">
        <v>85</v>
      </c>
      <c r="E79" s="2" t="s">
        <v>15</v>
      </c>
      <c r="F79" s="1"/>
      <c r="G79" s="1"/>
      <c r="H79" s="1"/>
      <c r="I79" s="1"/>
      <c r="J79" s="1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42"/>
      <c r="AI79" s="60"/>
    </row>
    <row r="80" spans="1:35" s="32" customFormat="1" ht="16.5" hidden="1" customHeight="1" x14ac:dyDescent="0.25">
      <c r="A80" s="101"/>
      <c r="B80" s="34" t="s">
        <v>26</v>
      </c>
      <c r="C80" s="35" t="s">
        <v>27</v>
      </c>
      <c r="D80" s="36" t="s">
        <v>85</v>
      </c>
      <c r="E80" s="2" t="s">
        <v>37</v>
      </c>
      <c r="F80" s="1">
        <v>1</v>
      </c>
      <c r="G80" s="1"/>
      <c r="H80" s="1"/>
      <c r="I80" s="1"/>
      <c r="J80" s="1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42"/>
      <c r="AI80" s="60"/>
    </row>
    <row r="81" spans="1:35" s="32" customFormat="1" ht="16.5" hidden="1" customHeight="1" x14ac:dyDescent="0.25">
      <c r="A81" s="99" t="s">
        <v>89</v>
      </c>
      <c r="B81" s="34" t="s">
        <v>26</v>
      </c>
      <c r="C81" s="35" t="s">
        <v>30</v>
      </c>
      <c r="D81" s="36" t="s">
        <v>85</v>
      </c>
      <c r="E81" s="2" t="s">
        <v>15</v>
      </c>
      <c r="F81" s="1">
        <v>4</v>
      </c>
      <c r="G81" s="1">
        <v>4</v>
      </c>
      <c r="H81" s="1"/>
      <c r="I81" s="1"/>
      <c r="J81" s="1"/>
      <c r="K81" s="34"/>
      <c r="L81" s="34"/>
      <c r="M81" s="34">
        <v>4</v>
      </c>
      <c r="N81" s="34"/>
      <c r="O81" s="34"/>
      <c r="P81" s="34"/>
      <c r="Q81" s="34"/>
      <c r="R81" s="34"/>
      <c r="S81" s="34"/>
      <c r="T81" s="34">
        <v>4</v>
      </c>
      <c r="U81" s="34">
        <v>4</v>
      </c>
      <c r="V81" s="34"/>
      <c r="W81" s="34"/>
      <c r="X81" s="34"/>
      <c r="Y81" s="34"/>
      <c r="Z81" s="34"/>
      <c r="AA81" s="34">
        <v>4</v>
      </c>
      <c r="AB81" s="34">
        <v>4</v>
      </c>
      <c r="AC81" s="34"/>
      <c r="AD81" s="34"/>
      <c r="AE81" s="34"/>
      <c r="AF81" s="34"/>
      <c r="AG81" s="34"/>
      <c r="AH81" s="42">
        <v>4</v>
      </c>
      <c r="AI81" s="60"/>
    </row>
    <row r="82" spans="1:35" s="32" customFormat="1" ht="16.5" hidden="1" customHeight="1" x14ac:dyDescent="0.25">
      <c r="A82" s="100"/>
      <c r="B82" s="38" t="s">
        <v>31</v>
      </c>
      <c r="C82" s="35" t="s">
        <v>32</v>
      </c>
      <c r="D82" s="36" t="s">
        <v>85</v>
      </c>
      <c r="E82" s="2" t="s">
        <v>15</v>
      </c>
      <c r="F82" s="1"/>
      <c r="G82" s="1"/>
      <c r="H82" s="1"/>
      <c r="I82" s="1"/>
      <c r="J82" s="1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42"/>
      <c r="AI82" s="60"/>
    </row>
    <row r="83" spans="1:35" s="32" customFormat="1" ht="16.5" hidden="1" customHeight="1" x14ac:dyDescent="0.25">
      <c r="A83" s="100"/>
      <c r="B83" s="38" t="s">
        <v>33</v>
      </c>
      <c r="C83" s="35" t="s">
        <v>34</v>
      </c>
      <c r="D83" s="36" t="s">
        <v>92</v>
      </c>
      <c r="E83" s="2" t="s">
        <v>15</v>
      </c>
      <c r="F83" s="1"/>
      <c r="G83" s="1"/>
      <c r="H83" s="1"/>
      <c r="I83" s="1"/>
      <c r="J83" s="1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42"/>
      <c r="AI83" s="60"/>
    </row>
    <row r="84" spans="1:35" s="32" customFormat="1" ht="16.5" hidden="1" customHeight="1" x14ac:dyDescent="0.25">
      <c r="A84" s="101"/>
      <c r="B84" s="34" t="s">
        <v>26</v>
      </c>
      <c r="C84" s="35" t="s">
        <v>27</v>
      </c>
      <c r="D84" s="36" t="s">
        <v>85</v>
      </c>
      <c r="E84" s="2" t="s">
        <v>37</v>
      </c>
      <c r="F84" s="1">
        <v>1</v>
      </c>
      <c r="G84" s="1"/>
      <c r="H84" s="1"/>
      <c r="I84" s="1"/>
      <c r="J84" s="1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42"/>
      <c r="AI84" s="60"/>
    </row>
    <row r="85" spans="1:35" s="32" customFormat="1" ht="16.5" hidden="1" customHeight="1" x14ac:dyDescent="0.25">
      <c r="A85" s="31"/>
      <c r="B85" s="31"/>
      <c r="C85" s="1"/>
      <c r="D85" s="1"/>
      <c r="E85" s="1"/>
      <c r="F85" s="1"/>
      <c r="G85" s="1"/>
      <c r="H85" s="1"/>
      <c r="I85" s="1"/>
      <c r="J85" s="1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42"/>
      <c r="AI85" s="60"/>
    </row>
    <row r="86" spans="1:35" s="32" customFormat="1" ht="16.5" hidden="1" customHeight="1" x14ac:dyDescent="0.25">
      <c r="A86" s="31"/>
      <c r="B86" s="31"/>
      <c r="C86" s="1"/>
      <c r="D86" s="1"/>
      <c r="E86" s="1"/>
      <c r="F86" s="1"/>
      <c r="G86" s="1"/>
      <c r="H86" s="1"/>
      <c r="I86" s="1"/>
      <c r="J86" s="1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42"/>
      <c r="AI86" s="60"/>
    </row>
    <row r="87" spans="1:35" s="32" customFormat="1" ht="16.5" hidden="1" customHeight="1" x14ac:dyDescent="0.25">
      <c r="A87" s="31"/>
      <c r="B87" s="31"/>
      <c r="C87" s="1"/>
      <c r="D87" s="1"/>
      <c r="E87" s="1"/>
      <c r="F87" s="1"/>
      <c r="G87" s="1"/>
      <c r="H87" s="1"/>
      <c r="I87" s="1"/>
      <c r="J87" s="1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42"/>
      <c r="AI87" s="60"/>
    </row>
    <row r="88" spans="1:35" s="32" customFormat="1" ht="16.5" hidden="1" customHeight="1" x14ac:dyDescent="0.25">
      <c r="A88" s="31"/>
      <c r="B88" s="31"/>
      <c r="C88" s="1"/>
      <c r="D88" s="1"/>
      <c r="E88" s="1"/>
      <c r="F88" s="1"/>
      <c r="G88" s="1"/>
      <c r="H88" s="1"/>
      <c r="I88" s="1"/>
      <c r="J88" s="1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42"/>
      <c r="AI88" s="60"/>
    </row>
    <row r="89" spans="1:35" s="32" customFormat="1" ht="16.5" hidden="1" customHeight="1" x14ac:dyDescent="0.25">
      <c r="A89" s="31"/>
      <c r="B89" s="31"/>
      <c r="C89" s="1"/>
      <c r="D89" s="1"/>
      <c r="E89" s="1"/>
      <c r="F89" s="1"/>
      <c r="G89" s="1"/>
      <c r="H89" s="1"/>
      <c r="I89" s="1"/>
      <c r="J89" s="1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42"/>
      <c r="AI89" s="60"/>
    </row>
    <row r="90" spans="1:35" s="32" customFormat="1" ht="16.5" hidden="1" customHeight="1" x14ac:dyDescent="0.25">
      <c r="A90" s="31"/>
      <c r="B90" s="31"/>
      <c r="C90" s="1"/>
      <c r="D90" s="1"/>
      <c r="E90" s="1"/>
      <c r="F90" s="1"/>
      <c r="G90" s="1"/>
      <c r="H90" s="1"/>
      <c r="I90" s="1"/>
      <c r="J90" s="1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42"/>
      <c r="AI90" s="60"/>
    </row>
    <row r="91" spans="1:35" s="32" customFormat="1" ht="16.5" hidden="1" customHeight="1" x14ac:dyDescent="0.25">
      <c r="A91" s="31"/>
      <c r="B91" s="31"/>
      <c r="C91" s="1"/>
      <c r="D91" s="1"/>
      <c r="E91" s="1"/>
      <c r="F91" s="1"/>
      <c r="G91" s="1"/>
      <c r="H91" s="1"/>
      <c r="I91" s="1"/>
      <c r="J91" s="1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42"/>
      <c r="AI91" s="60"/>
    </row>
    <row r="92" spans="1:35" s="32" customFormat="1" ht="16.5" hidden="1" customHeight="1" x14ac:dyDescent="0.25">
      <c r="A92" s="31"/>
      <c r="B92" s="31"/>
      <c r="C92" s="1"/>
      <c r="D92" s="1"/>
      <c r="E92" s="1"/>
      <c r="F92" s="1"/>
      <c r="G92" s="1"/>
      <c r="H92" s="1"/>
      <c r="I92" s="1"/>
      <c r="J92" s="1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42"/>
      <c r="AI92" s="60"/>
    </row>
    <row r="93" spans="1:35" s="32" customFormat="1" ht="16.5" hidden="1" customHeight="1" x14ac:dyDescent="0.25">
      <c r="A93" s="31"/>
      <c r="B93" s="31"/>
      <c r="C93" s="1"/>
      <c r="D93" s="1"/>
      <c r="E93" s="1"/>
      <c r="F93" s="1"/>
      <c r="G93" s="1"/>
      <c r="H93" s="1"/>
      <c r="I93" s="1"/>
      <c r="J93" s="1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42"/>
      <c r="AI93" s="60"/>
    </row>
    <row r="94" spans="1:35" s="32" customFormat="1" ht="16.5" hidden="1" customHeight="1" x14ac:dyDescent="0.25">
      <c r="A94" s="31"/>
      <c r="B94" s="31"/>
      <c r="C94" s="1"/>
      <c r="D94" s="1"/>
      <c r="E94" s="1"/>
      <c r="F94" s="1"/>
      <c r="G94" s="1"/>
      <c r="H94" s="1"/>
      <c r="I94" s="1"/>
      <c r="J94" s="1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42"/>
      <c r="AI94" s="60"/>
    </row>
    <row r="95" spans="1:35" s="32" customFormat="1" ht="16.5" hidden="1" customHeight="1" x14ac:dyDescent="0.25">
      <c r="A95" s="31"/>
      <c r="B95" s="31"/>
      <c r="C95" s="1"/>
      <c r="D95" s="1"/>
      <c r="E95" s="1"/>
      <c r="F95" s="1"/>
      <c r="G95" s="1"/>
      <c r="H95" s="1"/>
      <c r="I95" s="1"/>
      <c r="J95" s="1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42"/>
      <c r="AI95" s="60"/>
    </row>
    <row r="96" spans="1:35" s="32" customFormat="1" ht="16.5" hidden="1" customHeight="1" x14ac:dyDescent="0.25">
      <c r="A96" s="31"/>
      <c r="B96" s="31"/>
      <c r="C96" s="1"/>
      <c r="D96" s="1"/>
      <c r="E96" s="1"/>
      <c r="F96" s="1"/>
      <c r="G96" s="1"/>
      <c r="H96" s="1"/>
      <c r="I96" s="1"/>
      <c r="J96" s="1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42"/>
      <c r="AI96" s="60"/>
    </row>
    <row r="97" spans="1:35" s="32" customFormat="1" ht="16.5" hidden="1" customHeight="1" x14ac:dyDescent="0.25">
      <c r="A97" s="31"/>
      <c r="B97" s="31"/>
      <c r="C97" s="1"/>
      <c r="D97" s="1"/>
      <c r="E97" s="1"/>
      <c r="F97" s="1"/>
      <c r="G97" s="1"/>
      <c r="H97" s="1"/>
      <c r="I97" s="1"/>
      <c r="J97" s="1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42"/>
      <c r="AI97" s="60"/>
    </row>
    <row r="98" spans="1:35" s="32" customFormat="1" ht="16.5" hidden="1" customHeight="1" x14ac:dyDescent="0.25">
      <c r="A98" s="40"/>
      <c r="B98" s="38"/>
      <c r="C98" s="40"/>
      <c r="D98" s="36"/>
      <c r="E98" s="2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2"/>
      <c r="AI98" s="56"/>
    </row>
    <row r="99" spans="1:35" s="32" customFormat="1" ht="16.5" hidden="1" customHeight="1" x14ac:dyDescent="0.25">
      <c r="A99" s="40"/>
      <c r="B99" s="38"/>
      <c r="C99" s="35"/>
      <c r="D99" s="36"/>
      <c r="E99" s="2"/>
      <c r="F99" s="34"/>
      <c r="G99" s="34"/>
      <c r="H99" s="34"/>
      <c r="I99" s="34"/>
      <c r="J99" s="34"/>
      <c r="K99" s="34"/>
      <c r="L99" s="34"/>
      <c r="M99" s="34" t="s">
        <v>9</v>
      </c>
      <c r="N99" s="34"/>
      <c r="O99" s="34"/>
      <c r="P99" s="34"/>
      <c r="Q99" s="34"/>
      <c r="R99" s="34"/>
      <c r="S99" s="34"/>
      <c r="T99" s="34" t="s">
        <v>9</v>
      </c>
      <c r="U99" s="34"/>
      <c r="V99" s="34"/>
      <c r="W99" s="34"/>
      <c r="X99" s="34"/>
      <c r="Y99" s="34"/>
      <c r="Z99" s="34"/>
      <c r="AA99" s="34" t="s">
        <v>9</v>
      </c>
      <c r="AB99" s="34"/>
      <c r="AC99" s="34"/>
      <c r="AD99" s="34"/>
      <c r="AE99" s="34"/>
      <c r="AF99" s="34"/>
      <c r="AG99" s="34"/>
      <c r="AH99" s="2"/>
      <c r="AI99" s="56" t="s">
        <v>9</v>
      </c>
    </row>
    <row r="100" spans="1:35" hidden="1" x14ac:dyDescent="0.3"/>
    <row r="101" spans="1:35" hidden="1" x14ac:dyDescent="0.3">
      <c r="AB101" s="39" t="s">
        <v>21</v>
      </c>
    </row>
    <row r="102" spans="1:35" s="29" customFormat="1" ht="18" hidden="1" customHeight="1" x14ac:dyDescent="0.3">
      <c r="B102" s="110" t="s">
        <v>12</v>
      </c>
      <c r="C102" s="110"/>
      <c r="D102" s="5"/>
      <c r="E102" s="5"/>
      <c r="I102" s="97" t="s">
        <v>13</v>
      </c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AC102" s="5" t="s">
        <v>14</v>
      </c>
      <c r="AH102" s="4"/>
      <c r="AI102" s="55"/>
    </row>
    <row r="103" spans="1:35" hidden="1" x14ac:dyDescent="0.3">
      <c r="AB103" s="29"/>
    </row>
    <row r="104" spans="1:35" hidden="1" x14ac:dyDescent="0.3"/>
    <row r="105" spans="1:35" hidden="1" x14ac:dyDescent="0.3"/>
    <row r="106" spans="1:35" hidden="1" x14ac:dyDescent="0.3"/>
    <row r="107" spans="1:35" hidden="1" x14ac:dyDescent="0.3"/>
    <row r="108" spans="1:35" hidden="1" x14ac:dyDescent="0.3">
      <c r="K108" s="97" t="s">
        <v>23</v>
      </c>
      <c r="L108" s="97"/>
      <c r="M108" s="97"/>
      <c r="N108" s="97"/>
      <c r="O108" s="97"/>
      <c r="P108" s="97"/>
      <c r="Q108" s="97"/>
      <c r="R108" s="97"/>
      <c r="AA108" s="29" t="s">
        <v>22</v>
      </c>
    </row>
  </sheetData>
  <mergeCells count="102">
    <mergeCell ref="C51:C52"/>
    <mergeCell ref="D51:D52"/>
    <mergeCell ref="A51:A52"/>
    <mergeCell ref="AA7:AG7"/>
    <mergeCell ref="AH7:AH9"/>
    <mergeCell ref="AI7:AI9"/>
    <mergeCell ref="C8:E8"/>
    <mergeCell ref="A10:A14"/>
    <mergeCell ref="A7:A9"/>
    <mergeCell ref="B7:B9"/>
    <mergeCell ref="C7:E7"/>
    <mergeCell ref="F7:L7"/>
    <mergeCell ref="M7:S7"/>
    <mergeCell ref="D46:D47"/>
    <mergeCell ref="A48:A50"/>
    <mergeCell ref="B48:B50"/>
    <mergeCell ref="C48:C50"/>
    <mergeCell ref="D48:D50"/>
    <mergeCell ref="AH48:AH50"/>
    <mergeCell ref="AI48:AI50"/>
    <mergeCell ref="AH51:AH52"/>
    <mergeCell ref="AI51:AI52"/>
    <mergeCell ref="B51:B52"/>
    <mergeCell ref="A5:AI5"/>
    <mergeCell ref="A1:D1"/>
    <mergeCell ref="L1:AF1"/>
    <mergeCell ref="A2:D2"/>
    <mergeCell ref="L2:AF2"/>
    <mergeCell ref="A4:AI4"/>
    <mergeCell ref="A25:A29"/>
    <mergeCell ref="A30:A34"/>
    <mergeCell ref="T7:Z7"/>
    <mergeCell ref="A21:A24"/>
    <mergeCell ref="A44:A45"/>
    <mergeCell ref="B44:B45"/>
    <mergeCell ref="C44:C45"/>
    <mergeCell ref="D44:D45"/>
    <mergeCell ref="AH44:AH45"/>
    <mergeCell ref="AI38:AI39"/>
    <mergeCell ref="A42:A43"/>
    <mergeCell ref="B42:B43"/>
    <mergeCell ref="C42:C43"/>
    <mergeCell ref="AH42:AH43"/>
    <mergeCell ref="B38:B39"/>
    <mergeCell ref="C38:C39"/>
    <mergeCell ref="D38:D43"/>
    <mergeCell ref="AH38:AH39"/>
    <mergeCell ref="AI42:AI43"/>
    <mergeCell ref="AI57:AI58"/>
    <mergeCell ref="B102:C102"/>
    <mergeCell ref="I102:T102"/>
    <mergeCell ref="K108:R108"/>
    <mergeCell ref="T74:Z74"/>
    <mergeCell ref="AA74:AG74"/>
    <mergeCell ref="AH74:AI74"/>
    <mergeCell ref="C75:E75"/>
    <mergeCell ref="A77:A80"/>
    <mergeCell ref="A81:A84"/>
    <mergeCell ref="A68:D68"/>
    <mergeCell ref="A69:D69"/>
    <mergeCell ref="L69:AG69"/>
    <mergeCell ref="A71:AI71"/>
    <mergeCell ref="A72:AI72"/>
    <mergeCell ref="A74:A76"/>
    <mergeCell ref="B74:B76"/>
    <mergeCell ref="C74:E74"/>
    <mergeCell ref="F74:L74"/>
    <mergeCell ref="M74:S74"/>
    <mergeCell ref="B55:B56"/>
    <mergeCell ref="C55:C56"/>
    <mergeCell ref="D55:D56"/>
    <mergeCell ref="AH55:AH56"/>
    <mergeCell ref="AI55:AI56"/>
    <mergeCell ref="A53:A54"/>
    <mergeCell ref="B53:B54"/>
    <mergeCell ref="C53:C54"/>
    <mergeCell ref="D53:D54"/>
    <mergeCell ref="AH53:AH54"/>
    <mergeCell ref="A59:A60"/>
    <mergeCell ref="D59:D60"/>
    <mergeCell ref="A19:A20"/>
    <mergeCell ref="A15:A18"/>
    <mergeCell ref="B16:B17"/>
    <mergeCell ref="C16:C17"/>
    <mergeCell ref="D16:D17"/>
    <mergeCell ref="AH16:AH17"/>
    <mergeCell ref="AI16:AI17"/>
    <mergeCell ref="D35:D37"/>
    <mergeCell ref="A35:A36"/>
    <mergeCell ref="A38:A41"/>
    <mergeCell ref="B40:B41"/>
    <mergeCell ref="C40:C41"/>
    <mergeCell ref="AH40:AH41"/>
    <mergeCell ref="AI40:AI41"/>
    <mergeCell ref="AI44:AI45"/>
    <mergeCell ref="A57:A58"/>
    <mergeCell ref="B57:B58"/>
    <mergeCell ref="C57:C58"/>
    <mergeCell ref="D57:D58"/>
    <mergeCell ref="AH57:AH58"/>
    <mergeCell ref="AI53:AI54"/>
    <mergeCell ref="A55:A56"/>
  </mergeCells>
  <phoneticPr fontId="22" type="noConversion"/>
  <pageMargins left="0.2" right="0.1" top="0.511811023622047" bottom="0.511811023622047" header="0.31496062992126" footer="0.31496062992126"/>
  <pageSetup paperSize="9" scale="86" orientation="landscape" verticalDpi="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4:O24"/>
  <sheetViews>
    <sheetView workbookViewId="0">
      <selection activeCell="G16" sqref="G16"/>
    </sheetView>
  </sheetViews>
  <sheetFormatPr defaultRowHeight="18.75" x14ac:dyDescent="0.3"/>
  <cols>
    <col min="2" max="2" width="16.21875" customWidth="1"/>
    <col min="4" max="4" width="9.5546875" bestFit="1" customWidth="1"/>
  </cols>
  <sheetData>
    <row r="4" spans="1:15" s="6" customFormat="1" ht="41.25" customHeight="1" x14ac:dyDescent="0.3">
      <c r="A4" s="147" t="s">
        <v>55</v>
      </c>
      <c r="B4" s="147"/>
      <c r="C4" s="147"/>
      <c r="D4" s="147"/>
      <c r="E4" s="147"/>
    </row>
    <row r="5" spans="1:15" s="6" customFormat="1" x14ac:dyDescent="0.3"/>
    <row r="6" spans="1:15" s="6" customFormat="1" ht="44.25" customHeight="1" x14ac:dyDescent="0.3">
      <c r="A6" s="7" t="s">
        <v>38</v>
      </c>
      <c r="B6" s="148" t="s">
        <v>39</v>
      </c>
      <c r="C6" s="148"/>
      <c r="D6" s="7" t="s">
        <v>40</v>
      </c>
      <c r="E6" s="7" t="s">
        <v>41</v>
      </c>
    </row>
    <row r="7" spans="1:15" s="6" customFormat="1" x14ac:dyDescent="0.3">
      <c r="A7" s="8" t="s">
        <v>42</v>
      </c>
      <c r="B7" s="9" t="s">
        <v>84</v>
      </c>
      <c r="C7" s="10"/>
      <c r="D7" s="25" t="e">
        <f>SUM(D8:D16)</f>
        <v>#REF!</v>
      </c>
      <c r="E7" s="11"/>
    </row>
    <row r="8" spans="1:15" s="6" customFormat="1" x14ac:dyDescent="0.3">
      <c r="A8" s="12">
        <v>1</v>
      </c>
      <c r="B8" s="13" t="s">
        <v>56</v>
      </c>
      <c r="C8" s="14" t="s">
        <v>57</v>
      </c>
      <c r="D8" s="12" t="e">
        <f>#REF!+#REF!+#REF!</f>
        <v>#REF!</v>
      </c>
      <c r="E8" s="15"/>
      <c r="J8" s="6" t="s">
        <v>44</v>
      </c>
      <c r="N8" s="16" t="s">
        <v>45</v>
      </c>
    </row>
    <row r="9" spans="1:15" s="6" customFormat="1" x14ac:dyDescent="0.3">
      <c r="A9" s="17">
        <v>2</v>
      </c>
      <c r="B9" s="18" t="s">
        <v>58</v>
      </c>
      <c r="C9" s="19" t="s">
        <v>59</v>
      </c>
      <c r="D9" s="12" t="e">
        <f>#REF!</f>
        <v>#REF!</v>
      </c>
      <c r="E9" s="20"/>
      <c r="J9" s="6" t="s">
        <v>48</v>
      </c>
      <c r="N9" s="16" t="s">
        <v>49</v>
      </c>
    </row>
    <row r="10" spans="1:15" s="6" customFormat="1" x14ac:dyDescent="0.3">
      <c r="A10" s="17">
        <v>3</v>
      </c>
      <c r="B10" s="18" t="s">
        <v>62</v>
      </c>
      <c r="C10" s="19" t="s">
        <v>63</v>
      </c>
      <c r="D10" s="17" t="e">
        <f>#REF!+#REF!</f>
        <v>#REF!</v>
      </c>
      <c r="E10" s="20"/>
      <c r="J10" s="6" t="s">
        <v>50</v>
      </c>
      <c r="O10" s="16" t="s">
        <v>51</v>
      </c>
    </row>
    <row r="11" spans="1:15" s="6" customFormat="1" x14ac:dyDescent="0.3">
      <c r="A11" s="17">
        <v>4</v>
      </c>
      <c r="B11" s="18" t="s">
        <v>64</v>
      </c>
      <c r="C11" s="19" t="s">
        <v>65</v>
      </c>
      <c r="D11" s="17">
        <f>16+40</f>
        <v>56</v>
      </c>
      <c r="E11" s="20"/>
      <c r="J11" s="6" t="s">
        <v>52</v>
      </c>
    </row>
    <row r="12" spans="1:15" s="6" customFormat="1" x14ac:dyDescent="0.3">
      <c r="A12" s="17">
        <v>5</v>
      </c>
      <c r="B12" s="18" t="s">
        <v>60</v>
      </c>
      <c r="C12" s="19" t="s">
        <v>61</v>
      </c>
      <c r="D12" s="17"/>
      <c r="E12" s="20"/>
    </row>
    <row r="13" spans="1:15" s="6" customFormat="1" x14ac:dyDescent="0.3">
      <c r="A13" s="17">
        <v>6</v>
      </c>
      <c r="B13" s="18" t="s">
        <v>66</v>
      </c>
      <c r="C13" s="19" t="s">
        <v>67</v>
      </c>
      <c r="D13" s="17"/>
      <c r="E13" s="20"/>
    </row>
    <row r="14" spans="1:15" s="6" customFormat="1" x14ac:dyDescent="0.3">
      <c r="A14" s="17">
        <v>7</v>
      </c>
      <c r="B14" s="18" t="s">
        <v>68</v>
      </c>
      <c r="C14" s="19" t="s">
        <v>69</v>
      </c>
      <c r="D14" s="17"/>
      <c r="E14" s="20"/>
    </row>
    <row r="15" spans="1:15" s="6" customFormat="1" x14ac:dyDescent="0.3">
      <c r="A15" s="17">
        <v>8</v>
      </c>
      <c r="B15" s="18" t="s">
        <v>70</v>
      </c>
      <c r="C15" s="19" t="s">
        <v>71</v>
      </c>
      <c r="D15" s="17"/>
      <c r="E15" s="20"/>
    </row>
    <row r="16" spans="1:15" s="6" customFormat="1" x14ac:dyDescent="0.3">
      <c r="A16" s="23">
        <v>9</v>
      </c>
      <c r="B16" s="21" t="s">
        <v>72</v>
      </c>
      <c r="C16" s="22" t="s">
        <v>73</v>
      </c>
      <c r="D16" s="23"/>
      <c r="E16" s="24"/>
    </row>
    <row r="17" spans="1:5" x14ac:dyDescent="0.3">
      <c r="A17" s="25" t="s">
        <v>74</v>
      </c>
      <c r="B17" s="8" t="s">
        <v>43</v>
      </c>
      <c r="C17" s="26"/>
      <c r="D17" s="25">
        <f>SUM(D18:D23)</f>
        <v>36</v>
      </c>
      <c r="E17" s="26"/>
    </row>
    <row r="18" spans="1:5" x14ac:dyDescent="0.3">
      <c r="A18" s="17"/>
      <c r="B18" s="18" t="s">
        <v>46</v>
      </c>
      <c r="C18" s="19" t="s">
        <v>47</v>
      </c>
      <c r="D18" s="17">
        <v>20</v>
      </c>
      <c r="E18" s="20"/>
    </row>
    <row r="19" spans="1:5" x14ac:dyDescent="0.3">
      <c r="A19" s="17"/>
      <c r="B19" s="18" t="s">
        <v>53</v>
      </c>
      <c r="C19" s="19" t="s">
        <v>54</v>
      </c>
      <c r="D19" s="17">
        <v>16</v>
      </c>
      <c r="E19" s="20"/>
    </row>
    <row r="20" spans="1:5" x14ac:dyDescent="0.3">
      <c r="A20" s="17"/>
      <c r="B20" s="18" t="s">
        <v>75</v>
      </c>
      <c r="C20" s="19" t="s">
        <v>67</v>
      </c>
      <c r="D20" s="17"/>
      <c r="E20" s="20"/>
    </row>
    <row r="21" spans="1:5" x14ac:dyDescent="0.3">
      <c r="A21" s="17"/>
      <c r="B21" s="18" t="s">
        <v>76</v>
      </c>
      <c r="C21" s="19" t="s">
        <v>77</v>
      </c>
      <c r="D21" s="17"/>
      <c r="E21" s="20"/>
    </row>
    <row r="22" spans="1:5" x14ac:dyDescent="0.3">
      <c r="A22" s="17"/>
      <c r="B22" s="18" t="s">
        <v>78</v>
      </c>
      <c r="C22" s="19" t="s">
        <v>79</v>
      </c>
      <c r="D22" s="17"/>
      <c r="E22" s="20"/>
    </row>
    <row r="23" spans="1:5" x14ac:dyDescent="0.3">
      <c r="A23" s="17"/>
      <c r="B23" s="18" t="s">
        <v>80</v>
      </c>
      <c r="C23" s="22" t="s">
        <v>81</v>
      </c>
      <c r="D23" s="23"/>
      <c r="E23" s="24"/>
    </row>
    <row r="24" spans="1:5" x14ac:dyDescent="0.3">
      <c r="A24" s="8" t="s">
        <v>82</v>
      </c>
      <c r="B24" s="149" t="s">
        <v>83</v>
      </c>
      <c r="C24" s="150"/>
      <c r="D24" s="26"/>
      <c r="E24" s="26"/>
    </row>
  </sheetData>
  <mergeCells count="3">
    <mergeCell ref="A4:E4"/>
    <mergeCell ref="B6:C6"/>
    <mergeCell ref="B24:C2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THÁNG 8</vt:lpstr>
      <vt:lpstr>THÁNG 9 (2)</vt:lpstr>
      <vt:lpstr>THÁNG 9</vt:lpstr>
      <vt:lpstr>THÁNG 10</vt:lpstr>
      <vt:lpstr>THÁNG 10 ĐC-BS</vt:lpstr>
      <vt:lpstr>THÁNG 11</vt:lpstr>
      <vt:lpstr>THÁNG 12</vt:lpstr>
      <vt:lpstr>THÁNG 1</vt:lpstr>
      <vt:lpstr>TỔNG HỢP GIỜ</vt:lpstr>
      <vt:lpstr>'THÁNG 1'!Print_Titles</vt:lpstr>
      <vt:lpstr>'THÁNG 10'!Print_Titles</vt:lpstr>
      <vt:lpstr>'THÁNG 10 ĐC-BS'!Print_Titles</vt:lpstr>
      <vt:lpstr>'THÁNG 11'!Print_Titles</vt:lpstr>
      <vt:lpstr>'THÁNG 12'!Print_Titles</vt:lpstr>
      <vt:lpstr>'THÁNG 8'!Print_Titles</vt:lpstr>
      <vt:lpstr>'THÁNG 9'!Print_Titles</vt:lpstr>
      <vt:lpstr>'THÁNG 9 (2)'!Print_Titles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HTC</cp:lastModifiedBy>
  <cp:lastPrinted>2026-10-14T02:51:59Z</cp:lastPrinted>
  <dcterms:created xsi:type="dcterms:W3CDTF">2024-08-21T02:32:55Z</dcterms:created>
  <dcterms:modified xsi:type="dcterms:W3CDTF">2026-10-27T09:46:12Z</dcterms:modified>
</cp:coreProperties>
</file>